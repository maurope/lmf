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k_el-shamaa_cgiar_org/Documents/ICARDA/Ongoing Activities/LMF Project/Qualify Indicator/"/>
    </mc:Choice>
  </mc:AlternateContent>
  <xr:revisionPtr revIDLastSave="684" documentId="8_{789761F2-1C9C-4E21-A320-61103AD3E007}" xr6:coauthVersionLast="47" xr6:coauthVersionMax="47" xr10:uidLastSave="{A4E0577E-4EEF-466F-88B3-D8CE4C7752B1}"/>
  <bookViews>
    <workbookView xWindow="-28920" yWindow="-120" windowWidth="29040" windowHeight="15720" xr2:uid="{9DD1500F-FCCE-48B1-9C06-6AA0DC22FC87}"/>
  </bookViews>
  <sheets>
    <sheet name="Selection Dashboard" sheetId="6" r:id="rId1"/>
  </sheets>
  <definedNames>
    <definedName name="_xlnm._FilterDatabase" localSheetId="0" hidden="1">'Selection Dashboard'!$E$1:$U$151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 a="1"/>
  <c r="B15" i="6" s="1"/>
  <c r="L2" i="6" a="1"/>
  <c r="L2" i="6" s="1"/>
  <c r="C9" i="6" l="1"/>
  <c r="B9" i="6"/>
  <c r="W2" i="6" l="1" a="1"/>
  <c r="W2" i="6" s="1"/>
  <c r="V2" i="6" a="1"/>
  <c r="V2" i="6" s="1"/>
  <c r="O2" i="6" a="1"/>
  <c r="O2" i="6" s="1"/>
  <c r="M2" i="6" l="1" a="1"/>
  <c r="M2" i="6" s="1"/>
  <c r="N2" i="6" l="1" a="1"/>
  <c r="N2" i="6" s="1"/>
  <c r="B4" i="6" l="1"/>
  <c r="B5" i="6"/>
  <c r="U2" i="6" l="1" a="1"/>
  <c r="U2" i="6" s="1"/>
  <c r="Q2" i="6" l="1" a="1"/>
  <c r="Q2" i="6" s="1"/>
  <c r="P2" i="6" a="1"/>
  <c r="P2" i="6" s="1"/>
  <c r="R2" i="6" l="1" a="1"/>
  <c r="R2" i="6" s="1"/>
  <c r="S2" i="6" s="1" a="1"/>
  <c r="S2" i="6" s="1"/>
  <c r="T2" i="6" s="1" a="1"/>
  <c r="T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Al-Sham'aa, Khaled (ICARDA-Egypt)</author>
  </authors>
  <commentList>
    <comment ref="J1" authorId="0" shapeId="0" xr:uid="{ECC0C17C-90BA-49E2-906F-6977B7F61720}">
      <text>
        <r>
          <rPr>
            <b/>
            <sz val="9"/>
            <color indexed="81"/>
            <rFont val="Tahoma"/>
            <family val="2"/>
          </rPr>
          <t>CH4 Intensity [ml/g DM]?</t>
        </r>
      </text>
    </comment>
    <comment ref="P1" authorId="0" shapeId="0" xr:uid="{B9D28FC4-0C62-43FE-8E52-12FC2D0F4F16}">
      <text>
        <r>
          <rPr>
            <b/>
            <sz val="9"/>
            <color indexed="81"/>
            <rFont val="Tahoma"/>
            <family val="2"/>
          </rPr>
          <t xml:space="preserve">Standardize value (Z-Score)
</t>
        </r>
        <r>
          <rPr>
            <sz val="9"/>
            <color indexed="81"/>
            <rFont val="Tahoma"/>
            <family val="2"/>
          </rPr>
          <t>Z_Trait = (Trait - mean(Trait)) / sd(Trait)</t>
        </r>
      </text>
    </comment>
    <comment ref="A3" authorId="0" shapeId="0" xr:uid="{A0BFACF5-25E9-40E3-98F7-D3324149F348}">
      <text>
        <r>
          <rPr>
            <sz val="9"/>
            <color indexed="81"/>
            <rFont val="Tahoma"/>
            <family val="2"/>
          </rPr>
          <t>View ribbon -&gt; View group -&gt; Focus Cell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<sst xmlns="http://schemas.openxmlformats.org/spreadsheetml/2006/main" count="481" uniqueCount="217">
  <si>
    <t>Selection Option</t>
  </si>
  <si>
    <t>Dashboard Configuration</t>
  </si>
  <si>
    <t>TDDM [mg/g]</t>
  </si>
  <si>
    <t>CH4 Intensity 
[ml/g TDDM]</t>
  </si>
  <si>
    <t>CH4 Intensity  Decrease%</t>
  </si>
  <si>
    <t>TDDM Category</t>
  </si>
  <si>
    <t>TDDM 
Category</t>
  </si>
  <si>
    <t>Selected</t>
  </si>
  <si>
    <t>Options</t>
  </si>
  <si>
    <t>W1 (CH4)</t>
  </si>
  <si>
    <t>W2 (TDDM)</t>
  </si>
  <si>
    <t>CH4 Category</t>
  </si>
  <si>
    <t>High</t>
  </si>
  <si>
    <t>Low</t>
  </si>
  <si>
    <t>Not High</t>
  </si>
  <si>
    <t>Medium</t>
  </si>
  <si>
    <t>Composite 
Score</t>
  </si>
  <si>
    <t>Overall 
Rank</t>
  </si>
  <si>
    <t>Score
CH4 Intensity</t>
  </si>
  <si>
    <t>Score
TDDM</t>
  </si>
  <si>
    <t>Gene bank / Breeding ID</t>
  </si>
  <si>
    <t>Tax Name</t>
  </si>
  <si>
    <t>ABC-705-1</t>
  </si>
  <si>
    <t>ABC-707-1</t>
  </si>
  <si>
    <t>ABC-712-1</t>
  </si>
  <si>
    <t>ABC-749-1</t>
  </si>
  <si>
    <t>ABC-768-1</t>
  </si>
  <si>
    <t>ABC-772-1</t>
  </si>
  <si>
    <t>ABC-819-1</t>
  </si>
  <si>
    <t>ABC-905-1</t>
  </si>
  <si>
    <t>ABC-913-1</t>
  </si>
  <si>
    <t>ABC-989-1</t>
  </si>
  <si>
    <t>ABC-1257-1</t>
  </si>
  <si>
    <t>ABC-3240-1</t>
  </si>
  <si>
    <t>ABC-3522-1</t>
  </si>
  <si>
    <t>ABC-4134-1</t>
  </si>
  <si>
    <t>ABC-4279-1</t>
  </si>
  <si>
    <t>ABC-5124-1</t>
  </si>
  <si>
    <t>ABC-5234-1</t>
  </si>
  <si>
    <t>ABC-7292-1</t>
  </si>
  <si>
    <t>ABC-7317-1</t>
  </si>
  <si>
    <t>ABC-7322-1</t>
  </si>
  <si>
    <t>ABC-7339-1</t>
  </si>
  <si>
    <t>ABC-7469-1</t>
  </si>
  <si>
    <t>ABC-7643-1</t>
  </si>
  <si>
    <t>ABC-7703-1</t>
  </si>
  <si>
    <t>ABC-7714-1</t>
  </si>
  <si>
    <t>Alysicarpus</t>
  </si>
  <si>
    <t>ABC-7757-1</t>
  </si>
  <si>
    <t>Clitoria</t>
  </si>
  <si>
    <t>ABC-7759-1</t>
  </si>
  <si>
    <t>ABC-7790-1</t>
  </si>
  <si>
    <t>Crotalaria</t>
  </si>
  <si>
    <t>ABC-7792-1</t>
  </si>
  <si>
    <t>Chamaecrista</t>
  </si>
  <si>
    <t>ABC-7816-1</t>
  </si>
  <si>
    <t>Indigofera</t>
  </si>
  <si>
    <t>ABC-7858-1</t>
  </si>
  <si>
    <t>ABC-7972-1</t>
  </si>
  <si>
    <t>Canavalia</t>
  </si>
  <si>
    <t>ABC-8205-1</t>
  </si>
  <si>
    <t>ABC-8402-1</t>
  </si>
  <si>
    <t>ABC-8408-1</t>
  </si>
  <si>
    <t>ABC-8409-1</t>
  </si>
  <si>
    <t>ABC-8719-1</t>
  </si>
  <si>
    <t>ABC-8797-1</t>
  </si>
  <si>
    <t>Desmanthus</t>
  </si>
  <si>
    <t>ABC-8819-1</t>
  </si>
  <si>
    <t>Coursetia</t>
  </si>
  <si>
    <t>ABC-9170-1</t>
  </si>
  <si>
    <t>ABC-9254-1</t>
  </si>
  <si>
    <t>ABC-9283-1</t>
  </si>
  <si>
    <t>ABC-9288-1</t>
  </si>
  <si>
    <t>ABC-9336-1</t>
  </si>
  <si>
    <t>ABC-9349-1</t>
  </si>
  <si>
    <t>Mucuna</t>
  </si>
  <si>
    <t>ABC-9356-1</t>
  </si>
  <si>
    <t>Tephrosia</t>
  </si>
  <si>
    <t>ABC-9432-1</t>
  </si>
  <si>
    <t>ABC-9433-1</t>
  </si>
  <si>
    <t>ABC-9435-1</t>
  </si>
  <si>
    <t>ABC-9530-1</t>
  </si>
  <si>
    <t>ABC-9562-1</t>
  </si>
  <si>
    <t>Eriosema</t>
  </si>
  <si>
    <t>ABC-9982-1</t>
  </si>
  <si>
    <t>ABC-10647-1</t>
  </si>
  <si>
    <t>Stylosanthes</t>
  </si>
  <si>
    <t>ABC-11194-1</t>
  </si>
  <si>
    <t>ABC-11999-1</t>
  </si>
  <si>
    <t>ABC-12318-1</t>
  </si>
  <si>
    <t>ABC-13575-1</t>
  </si>
  <si>
    <t>Desmodium</t>
  </si>
  <si>
    <t>ABC-13609-1</t>
  </si>
  <si>
    <t>ABC-15551-1</t>
  </si>
  <si>
    <t>Centrosema</t>
  </si>
  <si>
    <t>ABC-17024-1</t>
  </si>
  <si>
    <t>ABC-17091-1</t>
  </si>
  <si>
    <t>ABC-17365-1</t>
  </si>
  <si>
    <t>ABC-17451-1</t>
  </si>
  <si>
    <t>ABC-17775-1</t>
  </si>
  <si>
    <t>Christia</t>
  </si>
  <si>
    <t>ABC-18016-1</t>
  </si>
  <si>
    <t>Sesbania</t>
  </si>
  <si>
    <t>ABC-18044-1</t>
  </si>
  <si>
    <t>ABC-18288-1</t>
  </si>
  <si>
    <t>ABC-18447-1</t>
  </si>
  <si>
    <t>ABC-18455-1</t>
  </si>
  <si>
    <t>ABC-18707-1</t>
  </si>
  <si>
    <t>ABC-18749-1</t>
  </si>
  <si>
    <t>Arachis</t>
  </si>
  <si>
    <t>ABC-18813-1</t>
  </si>
  <si>
    <t>ABC-18848-1</t>
  </si>
  <si>
    <t>ABC-18862-1</t>
  </si>
  <si>
    <t>ABC-18931-1</t>
  </si>
  <si>
    <t>ABC-19038-1</t>
  </si>
  <si>
    <t>ABC-19118-1</t>
  </si>
  <si>
    <t>ABC-19127-1</t>
  </si>
  <si>
    <t>ABC-19128-1</t>
  </si>
  <si>
    <t>ABC-19129-1</t>
  </si>
  <si>
    <t>ABC-19133-1</t>
  </si>
  <si>
    <t>ABC-19137-1</t>
  </si>
  <si>
    <t>ABC-19138-1</t>
  </si>
  <si>
    <t>ABC-19139-1</t>
  </si>
  <si>
    <t>ABC-19213-1</t>
  </si>
  <si>
    <t>ABC-19421-1</t>
  </si>
  <si>
    <t>Uraria</t>
  </si>
  <si>
    <t>ABC-19566-1</t>
  </si>
  <si>
    <t>ABC-19667-1</t>
  </si>
  <si>
    <t>ABC-19673-1</t>
  </si>
  <si>
    <t>ABC-BR02_1752</t>
  </si>
  <si>
    <t>ABC-BR02_1794</t>
  </si>
  <si>
    <t>ABC-BR06_0423</t>
  </si>
  <si>
    <t>ABC-BR09_1232</t>
  </si>
  <si>
    <t>ABC-BR12_4951</t>
  </si>
  <si>
    <t>ABC-BR15_0722</t>
  </si>
  <si>
    <t>ABC-BR15_6487</t>
  </si>
  <si>
    <t>ABC-BR19_0029</t>
  </si>
  <si>
    <t>ABC-BR19_0423</t>
  </si>
  <si>
    <t>ABC-CIAT_6962</t>
  </si>
  <si>
    <t>ABC-Mulato_II</t>
  </si>
  <si>
    <t>ABC-PM21_0215</t>
  </si>
  <si>
    <t>ABC-PM21_0631</t>
  </si>
  <si>
    <t>ABC-PM21_2195</t>
  </si>
  <si>
    <t>ABC-PM21_3522</t>
  </si>
  <si>
    <t>ABC-PM21_3534</t>
  </si>
  <si>
    <t>ABC-PM21_3537</t>
  </si>
  <si>
    <t>ABC-PM21_3545</t>
  </si>
  <si>
    <t>ABC-PM21_3670</t>
  </si>
  <si>
    <t>ABC-PM21_6628</t>
  </si>
  <si>
    <t>ABC-BH08_1149</t>
  </si>
  <si>
    <t>ABC-BH16_0550</t>
  </si>
  <si>
    <t>ABC-BH16_0562</t>
  </si>
  <si>
    <t>ABC-BH16_3249</t>
  </si>
  <si>
    <t>ABC-BH16B_0733</t>
  </si>
  <si>
    <t>ABC-BH16B_0741</t>
  </si>
  <si>
    <t>ABC-BH16B_1194</t>
  </si>
  <si>
    <t>ABC-BH16B_1618</t>
  </si>
  <si>
    <t>ABC-BH16B_1707</t>
  </si>
  <si>
    <t>ABC-CIAT_16888</t>
  </si>
  <si>
    <t>ABC-PM21_0053</t>
  </si>
  <si>
    <t>ABC-PM21_3550</t>
  </si>
  <si>
    <t>ABC-PM21_3595</t>
  </si>
  <si>
    <t>ABC-PM21_0086</t>
  </si>
  <si>
    <t>ABC-CIAT_16048</t>
  </si>
  <si>
    <t>ABC-PM21_0185</t>
  </si>
  <si>
    <t>ABC-CIAT_16051</t>
  </si>
  <si>
    <t>ABC-PM21_6080</t>
  </si>
  <si>
    <t>ABC-PM21_3684</t>
  </si>
  <si>
    <t>ABC-PM21_0076</t>
  </si>
  <si>
    <t>ABC-CIAT_6890</t>
  </si>
  <si>
    <t>ABC-PM21_6638</t>
  </si>
  <si>
    <t>ABC-PM21_0052</t>
  </si>
  <si>
    <t>ABC-PM21_4449</t>
  </si>
  <si>
    <t>ABC-CIAT_6799</t>
  </si>
  <si>
    <t>ABC-PM21_0055</t>
  </si>
  <si>
    <t>ABC-PM21_6529</t>
  </si>
  <si>
    <t>ABC-PM21_0047</t>
  </si>
  <si>
    <t>ABC-PM21_2627</t>
  </si>
  <si>
    <t>ABC-PM21_0059</t>
  </si>
  <si>
    <t>ABC-PM21_0062</t>
  </si>
  <si>
    <t>ABC-PM21_0906</t>
  </si>
  <si>
    <t>Approach 2</t>
  </si>
  <si>
    <t>Approach 3</t>
  </si>
  <si>
    <t>CH4 Intensity Classification</t>
  </si>
  <si>
    <t>Threshold Cutoff (Absolute Value)</t>
  </si>
  <si>
    <t>CH4 Intensity Score Weight</t>
  </si>
  <si>
    <t>TDDM% Score Weight</t>
  </si>
  <si>
    <t>High TDDM% Threshold Cutoff</t>
  </si>
  <si>
    <t>Filter Categories</t>
  </si>
  <si>
    <t>Score Weights</t>
  </si>
  <si>
    <t>Reference Control for CH4 Intensity Benchmark</t>
  </si>
  <si>
    <t>Benchmark vs. Control</t>
  </si>
  <si>
    <t>CH4% (8h)</t>
  </si>
  <si>
    <t>CH4% (24h)</t>
  </si>
  <si>
    <t>Herbaceous</t>
  </si>
  <si>
    <t>Legume</t>
  </si>
  <si>
    <t>Climber</t>
  </si>
  <si>
    <t>Shrub</t>
  </si>
  <si>
    <t>Browse</t>
  </si>
  <si>
    <t>Macroptilium</t>
  </si>
  <si>
    <t>Vigna</t>
  </si>
  <si>
    <t>Aeschynomene</t>
  </si>
  <si>
    <t>Cajanus</t>
  </si>
  <si>
    <t>Urochloa</t>
  </si>
  <si>
    <t>Grass</t>
  </si>
  <si>
    <t xml:space="preserve">Megathyrsus </t>
  </si>
  <si>
    <t>Megathyrsus</t>
  </si>
  <si>
    <t>CH4% (8h)
Reduction%</t>
  </si>
  <si>
    <t>CH4% (24h)
Reduction%</t>
  </si>
  <si>
    <t>Functional 
Group</t>
  </si>
  <si>
    <t>Approach 1 (Category 1a)</t>
  </si>
  <si>
    <t>Approach 1 (Category 1b)</t>
  </si>
  <si>
    <t>Reference Baseline (Top %n of Population)</t>
  </si>
  <si>
    <t>Highest CH4 Intensity Baseline</t>
  </si>
  <si>
    <t>Lowest CH4 Reduction% in Category</t>
  </si>
  <si>
    <t>CH4 Intensity 
Category</t>
  </si>
  <si>
    <t>Average of the Reference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</si>
</sst>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wrapText="1"/>
    </xf>
    <xf numFmtId="164" fontId="3" fillId="0" borderId="0" xfId="0" applyNumberFormat="1" applyFont="1" applyAlignment="1">
      <alignment horizontal="left"/>
    </xf>
    <xf numFmtId="9" fontId="1" fillId="0" borderId="0" xfId="1" applyFont="1" applyAlignment="1" applyProtection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Protection="1"/>
    <xf numFmtId="0" fontId="3" fillId="0" borderId="0" xfId="0" applyFont="1"/>
    <xf numFmtId="0" fontId="0" fillId="0" borderId="0" xfId="0" applyAlignment="1">
      <alignment horizontal="left"/>
    </xf>
    <xf numFmtId="9" fontId="0" fillId="0" borderId="0" xfId="1" applyFont="1" applyAlignment="1" applyProtection="1">
      <alignment horizontal="left"/>
    </xf>
    <xf numFmtId="0" fontId="3" fillId="0" borderId="0" xfId="0" applyFont="1" applyAlignment="1">
      <alignment horizontal="left" vertical="center"/>
    </xf>
    <xf numFmtId="9" fontId="3" fillId="0" borderId="0" xfId="1" applyFont="1" applyAlignment="1" applyProtection="1">
      <alignment horizontal="left"/>
    </xf>
    <xf numFmtId="165" fontId="0" fillId="0" borderId="2" xfId="1" applyNumberFormat="1" applyFont="1" applyBorder="1" applyAlignment="1" applyProtection="1">
      <alignment horizontal="left"/>
    </xf>
    <xf numFmtId="165" fontId="0" fillId="0" borderId="3" xfId="1" applyNumberFormat="1" applyFont="1" applyBorder="1" applyAlignment="1" applyProtection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9" fontId="0" fillId="0" borderId="1" xfId="1" applyFont="1" applyBorder="1" applyAlignment="1" applyProtection="1">
      <alignment horizontal="left"/>
    </xf>
    <xf numFmtId="164" fontId="0" fillId="0" borderId="0" xfId="1" applyNumberFormat="1" applyFont="1" applyBorder="1" applyAlignment="1" applyProtection="1">
      <alignment horizontal="left"/>
    </xf>
    <xf numFmtId="0" fontId="0" fillId="0" borderId="1" xfId="0" applyBorder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left"/>
    </xf>
    <xf numFmtId="0" fontId="0" fillId="0" borderId="0" xfId="0" applyProtection="1">
      <protection locked="0"/>
    </xf>
    <xf numFmtId="164" fontId="3" fillId="0" borderId="0" xfId="0" applyNumberFormat="1" applyFont="1" applyAlignment="1" applyProtection="1">
      <alignment horizontal="left"/>
      <protection locked="0"/>
    </xf>
    <xf numFmtId="0" fontId="3" fillId="6" borderId="0" xfId="0" applyFont="1" applyFill="1" applyAlignment="1">
      <alignment horizontal="left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6C14-6FBA-4C46-9E22-C8E18C28142F}">
  <dimension ref="A1:W142"/>
  <sheetViews>
    <sheetView tabSelected="1" zoomScale="90" zoomScaleNormal="90" workbookViewId="0">
      <selection activeCell="B1" sqref="B1:C1"/>
    </sheetView>
  </sheetViews>
  <sheetFormatPr defaultRowHeight="15" x14ac:dyDescent="0.25"/>
  <cols>
    <col min="1" max="1" width="39.28515625" customWidth="1"/>
    <col min="2" max="2" width="13.5703125" bestFit="1" customWidth="1"/>
    <col min="3" max="3" width="15.140625" bestFit="1" customWidth="1"/>
    <col min="4" max="4" width="3.28515625" customWidth="1"/>
    <col min="5" max="5" width="15.7109375" style="34" bestFit="1" customWidth="1"/>
    <col min="6" max="6" width="14.42578125" style="34" bestFit="1" customWidth="1"/>
    <col min="7" max="7" width="12.7109375" style="34" bestFit="1" customWidth="1"/>
    <col min="8" max="8" width="12.7109375" style="35" bestFit="1" customWidth="1"/>
    <col min="9" max="9" width="13.7109375" style="35" bestFit="1" customWidth="1"/>
    <col min="10" max="11" width="15.7109375" style="35" customWidth="1"/>
    <col min="12" max="12" width="14.140625" style="9" customWidth="1"/>
    <col min="13" max="13" width="14.85546875" style="9" customWidth="1"/>
    <col min="14" max="14" width="22.140625" style="9" customWidth="1"/>
    <col min="15" max="15" width="11.28515625" style="10" customWidth="1"/>
    <col min="16" max="16" width="12.85546875" style="10" hidden="1" customWidth="1"/>
    <col min="17" max="17" width="12" style="10" hidden="1" customWidth="1"/>
    <col min="18" max="18" width="11" style="10" hidden="1" customWidth="1"/>
    <col min="19" max="19" width="0.140625" style="10" customWidth="1"/>
    <col min="20" max="20" width="10" style="10" customWidth="1"/>
    <col min="21" max="21" width="12" style="10" bestFit="1" customWidth="1"/>
    <col min="22" max="23" width="11.85546875" style="11" bestFit="1" customWidth="1"/>
  </cols>
  <sheetData>
    <row r="1" spans="1:23" ht="32.25" customHeight="1" thickBot="1" x14ac:dyDescent="0.3">
      <c r="A1" s="1" t="s">
        <v>0</v>
      </c>
      <c r="B1" s="37" t="s">
        <v>181</v>
      </c>
      <c r="C1" s="38"/>
      <c r="E1" s="2" t="s">
        <v>20</v>
      </c>
      <c r="F1" s="2" t="s">
        <v>21</v>
      </c>
      <c r="G1" s="2" t="s">
        <v>209</v>
      </c>
      <c r="H1" s="2" t="s">
        <v>192</v>
      </c>
      <c r="I1" s="2" t="s">
        <v>193</v>
      </c>
      <c r="J1" s="2" t="s">
        <v>3</v>
      </c>
      <c r="K1" s="2" t="s">
        <v>2</v>
      </c>
      <c r="L1" s="3" t="s">
        <v>4</v>
      </c>
      <c r="M1" s="4" t="s">
        <v>191</v>
      </c>
      <c r="N1" s="5" t="s">
        <v>215</v>
      </c>
      <c r="O1" s="5" t="s">
        <v>6</v>
      </c>
      <c r="P1" s="6" t="s">
        <v>18</v>
      </c>
      <c r="Q1" s="6" t="s">
        <v>19</v>
      </c>
      <c r="R1" s="6" t="s">
        <v>16</v>
      </c>
      <c r="S1" s="6"/>
      <c r="T1" s="6" t="s">
        <v>17</v>
      </c>
      <c r="U1" s="6" t="s">
        <v>7</v>
      </c>
      <c r="V1" s="7" t="s">
        <v>207</v>
      </c>
      <c r="W1" s="7" t="s">
        <v>208</v>
      </c>
    </row>
    <row r="2" spans="1:23" x14ac:dyDescent="0.25">
      <c r="E2" s="34" t="s">
        <v>33</v>
      </c>
      <c r="F2" s="34" t="s">
        <v>91</v>
      </c>
      <c r="G2" s="34" t="s">
        <v>198</v>
      </c>
      <c r="H2" s="35">
        <v>17.955555555555556</v>
      </c>
      <c r="I2" s="35">
        <v>18.546381826687373</v>
      </c>
      <c r="J2" s="35">
        <v>56.506289154253707</v>
      </c>
      <c r="K2" s="35">
        <v>44.133122213349893</v>
      </c>
      <c r="L2" s="9" cm="1">
        <f t="array" ref="L2:L142">ROUND(1-_xlfn._xlws.FILTER(J:J,ISNUMBER(J:J))/AVERAGE(_xlfn._xlws.FILTER(J:J, J:J &gt;= _xlfn.PERCENTILE.INC(J:J, 1-B14))),2)</f>
        <v>0.19</v>
      </c>
      <c r="M2" s="9" cm="1">
        <f t="array" ref="M2:M142">_xlfn.LET(_xlpm.ref, _xlfn.XLOOKUP(A18,E:E,J:J,,0), IF(_xlpm.ref=0,"",ROUND(1-_xlfn._xlws.FILTER(J:J,ISNUMBER(J:J))/_xlpm.ref,2)))</f>
        <v>-0.02</v>
      </c>
      <c r="N2" s="9" t="str" cm="1">
        <f t="array" ref="N2:N142">IF(_xlfn._xlws.FILTER(J:J,ISNUMBER(J:J))&lt;=B9,"Low",IF(_xlfn._xlws.FILTER(J:J,ISNUMBER(J:J))&gt;=C9,"High","Medium"))</f>
        <v>High</v>
      </c>
      <c r="O2" s="10" t="str" cm="1">
        <f t="array" ref="O2:O142">IF(_xlfn._xlws.FILTER(K:K,ISNUMBER(K:K))&gt;=B11,"High","Not High")</f>
        <v>Not High</v>
      </c>
      <c r="P2" s="10" cm="1">
        <f t="array" ref="P2:P142">-1*ROUND((_xlfn._xlws.FILTER(J:J,ISNUMBER(J:J))-AVERAGE(J:J))/_xlfn.STDEV.S(J:J),3)*_xlfn.ANCHORARRAY(U2)</f>
        <v>0</v>
      </c>
      <c r="Q2" s="10" cm="1">
        <f t="array" ref="Q2:Q142">ROUND((_xlfn._xlws.FILTER(K:K,ISNUMBER(K:K))-AVERAGE(K:K))/_xlfn.STDEV.S(K:K),3)*_xlfn.ANCHORARRAY(U2)</f>
        <v>0</v>
      </c>
      <c r="R2" s="10" cm="1">
        <f t="array" ref="R2:R142">IF(B1="Option 3",0,B5*INDEX(_xlfn.ANCHORARRAY(P2), _xlfn.SEQUENCE(ROWS(_xlfn.ANCHORARRAY(P2)),,1),1))+IF(B1="Option 2",0,B4*INDEX(_xlfn.ANCHORARRAY(Q2), _xlfn.SEQUENCE(ROWS(_xlfn.ANCHORARRAY(Q2)),,1),1))</f>
        <v>0</v>
      </c>
      <c r="S2" s="10" cm="1">
        <f t="array" ref="S2:S142">IF(_xlfn.ANCHORARRAY(R2)=0,-99,_xlfn.ANCHORARRAY(R2))</f>
        <v>-99</v>
      </c>
      <c r="T2" s="10" cm="1">
        <f t="array" ref="T2:T142">_xlfn.ANCHORARRAY(U2)*(_xlfn.RANK.EQ(_xlfn.ANCHORARRAY(S2),_xlfn.ANCHORARRAY(S2),0))</f>
        <v>0</v>
      </c>
      <c r="U2" s="10" cm="1">
        <f t="array" ref="U2:U142">IF(LEFT(_xlfn.XLOOKUP(B1,A22:A25,B22:B25),4)="Not ", IF(INDEX(_xlfn.ANCHORARRAY(N2),_xlfn.SEQUENCE(ROWS(_xlfn.ANCHORARRAY(N2)),,1),1)&lt;&gt;MID(_xlfn.XLOOKUP(B1,A22:A25,B22:B25),5,99),1,0), IF(INDEX(_xlfn.ANCHORARRAY(N2),_xlfn.SEQUENCE(ROWS(_xlfn.ANCHORARRAY(N2)),,1),1)=_xlfn.XLOOKUP(B1,A22:A25,B22:B25),1,0))*IF(LEFT(_xlfn.XLOOKUP(B1,A22:A25,C22:C25),4)="Not ", IF(INDEX(_xlfn.ANCHORARRAY(O2),_xlfn.SEQUENCE(ROWS(_xlfn.ANCHORARRAY(O2)),,1),1)&lt;&gt;MID(_xlfn.XLOOKUP(B1,A22:A25,C22:C25),5,99),1,0), IF(INDEX(_xlfn.ANCHORARRAY(O2),_xlfn.SEQUENCE(ROWS(_xlfn.ANCHORARRAY(O2)),,1),1)=_xlfn.XLOOKUP(B1,A22:A25,C22:C25),1,0))</f>
        <v>0</v>
      </c>
      <c r="V2" s="11" cm="1">
        <f t="array" ref="V2:V142">ROUND((AVERAGE(H:H)-_xlfn._xlws.FILTER(H:H,ISNUMBER(H:H)))/AVERAGE(H:H),3)</f>
        <v>-0.17199999999999999</v>
      </c>
      <c r="W2" s="11" cm="1">
        <f t="array" ref="W2:W142">ROUND((AVERAGE(I:I)-_xlfn._xlws.FILTER(I:I,ISNUMBER(I:I)))/AVERAGE(I:I),3)</f>
        <v>-7.0999999999999994E-2</v>
      </c>
    </row>
    <row r="3" spans="1:23" x14ac:dyDescent="0.25">
      <c r="A3" s="36" t="s">
        <v>1</v>
      </c>
      <c r="B3" s="36"/>
      <c r="C3" s="36"/>
      <c r="E3" s="34" t="s">
        <v>44</v>
      </c>
      <c r="F3" s="34" t="s">
        <v>66</v>
      </c>
      <c r="G3" s="34" t="s">
        <v>198</v>
      </c>
      <c r="H3" s="35">
        <v>15.308333333333334</v>
      </c>
      <c r="I3" s="35">
        <v>17.152640961812544</v>
      </c>
      <c r="J3" s="35">
        <v>47.115282329619404</v>
      </c>
      <c r="K3" s="35">
        <v>48.243694651903411</v>
      </c>
      <c r="L3" s="9">
        <v>0.32</v>
      </c>
      <c r="M3" s="9">
        <v>0.15</v>
      </c>
      <c r="N3" s="9" t="str">
        <v>Medium</v>
      </c>
      <c r="O3" s="10" t="str">
        <v>Not High</v>
      </c>
      <c r="P3" s="10">
        <v>1.1140000000000001</v>
      </c>
      <c r="Q3" s="10">
        <v>-0.42499999999999999</v>
      </c>
      <c r="R3" s="10">
        <v>1.1140000000000001</v>
      </c>
      <c r="S3" s="10">
        <v>1.1140000000000001</v>
      </c>
      <c r="T3" s="10">
        <v>20</v>
      </c>
      <c r="U3" s="10">
        <v>1</v>
      </c>
      <c r="V3" s="11">
        <v>1E-3</v>
      </c>
      <c r="W3" s="11">
        <v>8.9999999999999993E-3</v>
      </c>
    </row>
    <row r="4" spans="1:23" x14ac:dyDescent="0.25">
      <c r="A4" s="12" t="s">
        <v>186</v>
      </c>
      <c r="B4" s="13">
        <f>_xlfn.XLOOKUP(B1,A29:A32,C29:C32)</f>
        <v>0</v>
      </c>
      <c r="E4" s="34" t="s">
        <v>65</v>
      </c>
      <c r="F4" s="34" t="s">
        <v>66</v>
      </c>
      <c r="G4" s="34" t="s">
        <v>198</v>
      </c>
      <c r="H4" s="35">
        <v>15.466666666666669</v>
      </c>
      <c r="I4" s="35">
        <v>17.840951231856206</v>
      </c>
      <c r="J4" s="35">
        <v>48.501320068406635</v>
      </c>
      <c r="K4" s="35">
        <v>55.080039485130563</v>
      </c>
      <c r="L4" s="9">
        <v>0.3</v>
      </c>
      <c r="M4" s="9">
        <v>0.12</v>
      </c>
      <c r="N4" s="9" t="str">
        <v>Medium</v>
      </c>
      <c r="O4" s="10" t="str">
        <v>Not High</v>
      </c>
      <c r="P4" s="10">
        <v>0.95099999999999996</v>
      </c>
      <c r="Q4" s="10">
        <v>0.434</v>
      </c>
      <c r="R4" s="10">
        <v>0.95099999999999996</v>
      </c>
      <c r="S4" s="10">
        <v>0.95099999999999996</v>
      </c>
      <c r="T4" s="10">
        <v>23</v>
      </c>
      <c r="U4" s="10">
        <v>1</v>
      </c>
      <c r="V4" s="11">
        <v>-8.9999999999999993E-3</v>
      </c>
      <c r="W4" s="11">
        <v>-3.1E-2</v>
      </c>
    </row>
    <row r="5" spans="1:23" x14ac:dyDescent="0.25">
      <c r="A5" s="12" t="s">
        <v>185</v>
      </c>
      <c r="B5" s="13">
        <f>_xlfn.XLOOKUP(B1,A29:A32,B29:B32)</f>
        <v>1</v>
      </c>
      <c r="C5" s="14"/>
      <c r="E5" s="34" t="s">
        <v>30</v>
      </c>
      <c r="F5" s="34" t="s">
        <v>202</v>
      </c>
      <c r="G5" s="34" t="s">
        <v>198</v>
      </c>
      <c r="H5" s="35">
        <v>13.533333333333333</v>
      </c>
      <c r="I5" s="35">
        <v>16.091712093168255</v>
      </c>
      <c r="J5" s="35">
        <v>60.864719657451893</v>
      </c>
      <c r="K5" s="35">
        <v>35.779705369826942</v>
      </c>
      <c r="L5" s="9">
        <v>0.12</v>
      </c>
      <c r="M5" s="9">
        <v>-0.1</v>
      </c>
      <c r="N5" s="9" t="str">
        <v>High</v>
      </c>
      <c r="O5" s="10" t="str">
        <v>Not High</v>
      </c>
      <c r="P5" s="10">
        <v>0</v>
      </c>
      <c r="Q5" s="10">
        <v>0</v>
      </c>
      <c r="R5" s="10">
        <v>0</v>
      </c>
      <c r="S5" s="10">
        <v>-99</v>
      </c>
      <c r="T5" s="10">
        <v>0</v>
      </c>
      <c r="U5" s="10">
        <v>0</v>
      </c>
      <c r="V5" s="11">
        <v>0.11700000000000001</v>
      </c>
      <c r="W5" s="11">
        <v>7.0000000000000007E-2</v>
      </c>
    </row>
    <row r="6" spans="1:23" x14ac:dyDescent="0.25">
      <c r="C6" s="13"/>
      <c r="E6" s="34" t="s">
        <v>93</v>
      </c>
      <c r="F6" s="34" t="s">
        <v>94</v>
      </c>
      <c r="G6" s="34" t="s">
        <v>196</v>
      </c>
      <c r="H6" s="35">
        <v>14.788888888888891</v>
      </c>
      <c r="I6" s="35">
        <v>17.492618195205818</v>
      </c>
      <c r="J6" s="35">
        <v>49.719024877239946</v>
      </c>
      <c r="K6" s="35">
        <v>56.529303079421929</v>
      </c>
      <c r="L6" s="9">
        <v>0.28000000000000003</v>
      </c>
      <c r="M6" s="9">
        <v>0.1</v>
      </c>
      <c r="N6" s="9" t="str">
        <v>Medium</v>
      </c>
      <c r="O6" s="10" t="str">
        <v>Not High</v>
      </c>
      <c r="P6" s="10">
        <v>0.80700000000000005</v>
      </c>
      <c r="Q6" s="10">
        <v>0.61599999999999999</v>
      </c>
      <c r="R6" s="10">
        <v>0.80700000000000005</v>
      </c>
      <c r="S6" s="10">
        <v>0.80700000000000005</v>
      </c>
      <c r="T6" s="10">
        <v>31</v>
      </c>
      <c r="U6" s="10">
        <v>1</v>
      </c>
      <c r="V6" s="11">
        <v>3.5000000000000003E-2</v>
      </c>
      <c r="W6" s="11">
        <v>-0.01</v>
      </c>
    </row>
    <row r="7" spans="1:23" ht="15.75" thickBot="1" x14ac:dyDescent="0.3">
      <c r="A7" s="15" t="s">
        <v>183</v>
      </c>
      <c r="B7" s="8" t="s">
        <v>13</v>
      </c>
      <c r="C7" s="16" t="s">
        <v>15</v>
      </c>
      <c r="E7" s="34" t="s">
        <v>97</v>
      </c>
      <c r="F7" s="34" t="s">
        <v>49</v>
      </c>
      <c r="G7" s="34" t="s">
        <v>196</v>
      </c>
      <c r="H7" s="35">
        <v>15.122222222222225</v>
      </c>
      <c r="I7" s="35">
        <v>17.563592118193167</v>
      </c>
      <c r="J7" s="35">
        <v>63.392662281760586</v>
      </c>
      <c r="K7" s="35">
        <v>57.955792268824865</v>
      </c>
      <c r="L7" s="9">
        <v>0.09</v>
      </c>
      <c r="M7" s="9">
        <v>-0.15</v>
      </c>
      <c r="N7" s="9" t="str">
        <v>High</v>
      </c>
      <c r="O7" s="10" t="str">
        <v>Not High</v>
      </c>
      <c r="P7" s="10">
        <v>0</v>
      </c>
      <c r="Q7" s="10">
        <v>0</v>
      </c>
      <c r="R7" s="10">
        <v>0</v>
      </c>
      <c r="S7" s="10">
        <v>-99</v>
      </c>
      <c r="T7" s="10">
        <v>0</v>
      </c>
      <c r="U7" s="10">
        <v>0</v>
      </c>
      <c r="V7" s="11">
        <v>1.2999999999999999E-2</v>
      </c>
      <c r="W7" s="11">
        <v>-1.4999999999999999E-2</v>
      </c>
    </row>
    <row r="8" spans="1:23" ht="15.75" thickBot="1" x14ac:dyDescent="0.3">
      <c r="A8" s="15" t="s">
        <v>214</v>
      </c>
      <c r="B8" s="17">
        <v>0.35</v>
      </c>
      <c r="C8" s="18">
        <v>0.2</v>
      </c>
      <c r="E8" s="34" t="s">
        <v>98</v>
      </c>
      <c r="F8" s="34" t="s">
        <v>59</v>
      </c>
      <c r="G8" s="34" t="s">
        <v>196</v>
      </c>
      <c r="H8" s="35">
        <v>12.799999999999999</v>
      </c>
      <c r="I8" s="35">
        <v>15.608383904892438</v>
      </c>
      <c r="J8" s="35">
        <v>62.065943783039124</v>
      </c>
      <c r="K8" s="35">
        <v>42.430484549297681</v>
      </c>
      <c r="L8" s="9">
        <v>0.11</v>
      </c>
      <c r="M8" s="9">
        <v>-0.12</v>
      </c>
      <c r="N8" s="9" t="str">
        <v>High</v>
      </c>
      <c r="O8" s="10" t="str">
        <v>Not High</v>
      </c>
      <c r="P8" s="10">
        <v>0</v>
      </c>
      <c r="Q8" s="10">
        <v>0</v>
      </c>
      <c r="R8" s="10">
        <v>0</v>
      </c>
      <c r="S8" s="10">
        <v>-99</v>
      </c>
      <c r="T8" s="10">
        <v>0</v>
      </c>
      <c r="U8" s="10">
        <v>0</v>
      </c>
      <c r="V8" s="11">
        <v>0.16500000000000001</v>
      </c>
      <c r="W8" s="11">
        <v>9.8000000000000004E-2</v>
      </c>
    </row>
    <row r="9" spans="1:23" x14ac:dyDescent="0.25">
      <c r="A9" s="15" t="s">
        <v>184</v>
      </c>
      <c r="B9" s="19">
        <f>B15*(1-B8)</f>
        <v>45.132768295465432</v>
      </c>
      <c r="C9" s="19">
        <f>B15*(1-C8)</f>
        <v>55.548022517495923</v>
      </c>
      <c r="E9" s="34" t="s">
        <v>103</v>
      </c>
      <c r="F9" s="34" t="s">
        <v>100</v>
      </c>
      <c r="G9" s="34" t="s">
        <v>196</v>
      </c>
      <c r="H9" s="35">
        <v>15.275</v>
      </c>
      <c r="I9" s="35">
        <v>18.252428489691486</v>
      </c>
      <c r="J9" s="35">
        <v>58.330576169049117</v>
      </c>
      <c r="K9" s="35">
        <v>53.637045914891367</v>
      </c>
      <c r="L9" s="9">
        <v>0.16</v>
      </c>
      <c r="M9" s="9">
        <v>-0.06</v>
      </c>
      <c r="N9" s="9" t="str">
        <v>High</v>
      </c>
      <c r="O9" s="10" t="str">
        <v>Not High</v>
      </c>
      <c r="P9" s="10">
        <v>0</v>
      </c>
      <c r="Q9" s="10">
        <v>0</v>
      </c>
      <c r="R9" s="10">
        <v>0</v>
      </c>
      <c r="S9" s="10">
        <v>-99</v>
      </c>
      <c r="T9" s="10">
        <v>0</v>
      </c>
      <c r="U9" s="10">
        <v>0</v>
      </c>
      <c r="V9" s="11">
        <v>3.0000000000000001E-3</v>
      </c>
      <c r="W9" s="11">
        <v>-5.3999999999999999E-2</v>
      </c>
    </row>
    <row r="10" spans="1:23" ht="15.75" thickBot="1" x14ac:dyDescent="0.3">
      <c r="A10" s="15"/>
      <c r="B10" s="19"/>
      <c r="C10" s="19"/>
      <c r="E10" s="34" t="s">
        <v>105</v>
      </c>
      <c r="F10" s="34" t="s">
        <v>49</v>
      </c>
      <c r="G10" s="34" t="s">
        <v>196</v>
      </c>
      <c r="H10" s="35">
        <v>14.511111111111113</v>
      </c>
      <c r="I10" s="35">
        <v>16.924154248082871</v>
      </c>
      <c r="J10" s="35">
        <v>55.282370318009399</v>
      </c>
      <c r="K10" s="35">
        <v>59.90652710063965</v>
      </c>
      <c r="L10" s="9">
        <v>0.2</v>
      </c>
      <c r="M10" s="9">
        <v>0</v>
      </c>
      <c r="N10" s="9" t="str">
        <v>Medium</v>
      </c>
      <c r="O10" s="10" t="str">
        <v>Not High</v>
      </c>
      <c r="P10" s="10">
        <v>0.151</v>
      </c>
      <c r="Q10" s="10">
        <v>1.04</v>
      </c>
      <c r="R10" s="10">
        <v>0.151</v>
      </c>
      <c r="S10" s="10">
        <v>0.151</v>
      </c>
      <c r="T10" s="10">
        <v>51</v>
      </c>
      <c r="U10" s="10">
        <v>1</v>
      </c>
      <c r="V10" s="11">
        <v>5.2999999999999999E-2</v>
      </c>
      <c r="W10" s="11">
        <v>2.1999999999999999E-2</v>
      </c>
    </row>
    <row r="11" spans="1:23" ht="15.75" thickBot="1" x14ac:dyDescent="0.3">
      <c r="A11" s="12" t="s">
        <v>187</v>
      </c>
      <c r="B11" s="20">
        <v>60</v>
      </c>
      <c r="C11" s="13"/>
      <c r="E11" s="34" t="s">
        <v>106</v>
      </c>
      <c r="F11" s="34" t="s">
        <v>100</v>
      </c>
      <c r="G11" s="34" t="s">
        <v>196</v>
      </c>
      <c r="H11" s="35">
        <v>15.41111111111111</v>
      </c>
      <c r="I11" s="35">
        <v>18.535253667472226</v>
      </c>
      <c r="J11" s="35">
        <v>59.861289244578046</v>
      </c>
      <c r="K11" s="35">
        <v>61.217882972098892</v>
      </c>
      <c r="L11" s="9">
        <v>0.14000000000000001</v>
      </c>
      <c r="M11" s="9">
        <v>-0.08</v>
      </c>
      <c r="N11" s="9" t="str">
        <v>High</v>
      </c>
      <c r="O11" s="10" t="str">
        <v>High</v>
      </c>
      <c r="P11" s="10">
        <v>0</v>
      </c>
      <c r="Q11" s="10">
        <v>0</v>
      </c>
      <c r="R11" s="10">
        <v>0</v>
      </c>
      <c r="S11" s="10">
        <v>-99</v>
      </c>
      <c r="T11" s="10">
        <v>0</v>
      </c>
      <c r="U11" s="10">
        <v>0</v>
      </c>
      <c r="V11" s="11">
        <v>-6.0000000000000001E-3</v>
      </c>
      <c r="W11" s="11">
        <v>-7.0999999999999994E-2</v>
      </c>
    </row>
    <row r="12" spans="1:23" x14ac:dyDescent="0.25">
      <c r="A12" s="15"/>
      <c r="B12" s="19"/>
      <c r="C12" s="19"/>
      <c r="E12" s="34" t="s">
        <v>114</v>
      </c>
      <c r="F12" s="34" t="s">
        <v>59</v>
      </c>
      <c r="G12" s="34" t="s">
        <v>196</v>
      </c>
      <c r="H12" s="35">
        <v>14.777777777777775</v>
      </c>
      <c r="I12" s="35">
        <v>17.601001472387221</v>
      </c>
      <c r="J12" s="35">
        <v>63.373332151471736</v>
      </c>
      <c r="K12" s="35">
        <v>49.178656948916064</v>
      </c>
      <c r="L12" s="9">
        <v>0.09</v>
      </c>
      <c r="M12" s="9">
        <v>-0.15</v>
      </c>
      <c r="N12" s="9" t="str">
        <v>High</v>
      </c>
      <c r="O12" s="10" t="str">
        <v>Not High</v>
      </c>
      <c r="P12" s="10">
        <v>0</v>
      </c>
      <c r="Q12" s="10">
        <v>0</v>
      </c>
      <c r="R12" s="10">
        <v>0</v>
      </c>
      <c r="S12" s="10">
        <v>-99</v>
      </c>
      <c r="T12" s="10">
        <v>0</v>
      </c>
      <c r="U12" s="10">
        <v>0</v>
      </c>
      <c r="V12" s="11">
        <v>3.5999999999999997E-2</v>
      </c>
      <c r="W12" s="11">
        <v>-1.7000000000000001E-2</v>
      </c>
    </row>
    <row r="13" spans="1:23" ht="15.75" thickBot="1" x14ac:dyDescent="0.3">
      <c r="A13" s="39" t="s">
        <v>213</v>
      </c>
      <c r="B13" s="39"/>
      <c r="C13" s="39"/>
      <c r="E13" s="34" t="s">
        <v>123</v>
      </c>
      <c r="F13" s="34" t="s">
        <v>49</v>
      </c>
      <c r="G13" s="34" t="s">
        <v>196</v>
      </c>
      <c r="H13" s="35">
        <v>14.988888888888889</v>
      </c>
      <c r="I13" s="35">
        <v>16.089292822845263</v>
      </c>
      <c r="J13" s="35">
        <v>63.655843935998782</v>
      </c>
      <c r="K13" s="35">
        <v>44.222275533188217</v>
      </c>
      <c r="L13" s="9">
        <v>0.08</v>
      </c>
      <c r="M13" s="9">
        <v>-0.15</v>
      </c>
      <c r="N13" s="9" t="str">
        <v>High</v>
      </c>
      <c r="O13" s="10" t="str">
        <v>Not High</v>
      </c>
      <c r="P13" s="10">
        <v>0</v>
      </c>
      <c r="Q13" s="10">
        <v>0</v>
      </c>
      <c r="R13" s="10">
        <v>0</v>
      </c>
      <c r="S13" s="10">
        <v>-99</v>
      </c>
      <c r="T13" s="10">
        <v>0</v>
      </c>
      <c r="U13" s="10">
        <v>0</v>
      </c>
      <c r="V13" s="11">
        <v>2.1999999999999999E-2</v>
      </c>
      <c r="W13" s="11">
        <v>7.0999999999999994E-2</v>
      </c>
    </row>
    <row r="14" spans="1:23" ht="15.75" thickBot="1" x14ac:dyDescent="0.3">
      <c r="A14" s="12" t="s">
        <v>212</v>
      </c>
      <c r="B14" s="21">
        <v>0.1</v>
      </c>
      <c r="C14" s="14"/>
      <c r="E14" s="34" t="s">
        <v>35</v>
      </c>
      <c r="F14" s="34" t="s">
        <v>199</v>
      </c>
      <c r="G14" s="34" t="s">
        <v>196</v>
      </c>
      <c r="H14" s="35">
        <v>16.366666666666667</v>
      </c>
      <c r="I14" s="35">
        <v>17.991572447214107</v>
      </c>
      <c r="J14" s="35">
        <v>66.523229410252782</v>
      </c>
      <c r="K14" s="35">
        <v>47.828917611919408</v>
      </c>
      <c r="L14" s="9">
        <v>0.04</v>
      </c>
      <c r="M14" s="9">
        <v>-0.2</v>
      </c>
      <c r="N14" s="9" t="str">
        <v>High</v>
      </c>
      <c r="O14" s="10" t="str">
        <v>Not High</v>
      </c>
      <c r="P14" s="10">
        <v>0</v>
      </c>
      <c r="Q14" s="10">
        <v>0</v>
      </c>
      <c r="R14" s="10">
        <v>0</v>
      </c>
      <c r="S14" s="10">
        <v>-99</v>
      </c>
      <c r="T14" s="10">
        <v>0</v>
      </c>
      <c r="U14" s="10">
        <v>0</v>
      </c>
      <c r="V14" s="11">
        <v>-6.8000000000000005E-2</v>
      </c>
      <c r="W14" s="11">
        <v>-3.9E-2</v>
      </c>
    </row>
    <row r="15" spans="1:23" x14ac:dyDescent="0.25">
      <c r="A15" s="15" t="s">
        <v>216</v>
      </c>
      <c r="B15" s="22" cm="1">
        <f t="array" ref="B15">AVERAGE(_xlfn._xlws.FILTER(J:J, J:J &gt;= _xlfn.PERCENTILE.INC(J:J, 1-B14)))</f>
        <v>69.435028146869897</v>
      </c>
      <c r="C15" s="14"/>
      <c r="E15" s="34" t="s">
        <v>36</v>
      </c>
      <c r="F15" s="34" t="s">
        <v>200</v>
      </c>
      <c r="G15" s="34" t="s">
        <v>196</v>
      </c>
      <c r="H15" s="35">
        <v>16.655555555555559</v>
      </c>
      <c r="I15" s="35">
        <v>17.911471325271673</v>
      </c>
      <c r="J15" s="35">
        <v>70.200824665603619</v>
      </c>
      <c r="K15" s="35">
        <v>47.312004453322885</v>
      </c>
      <c r="L15" s="9">
        <v>-0.01</v>
      </c>
      <c r="M15" s="9">
        <v>-0.27</v>
      </c>
      <c r="N15" s="9" t="str">
        <v>High</v>
      </c>
      <c r="O15" s="10" t="str">
        <v>Not High</v>
      </c>
      <c r="P15" s="10">
        <v>0</v>
      </c>
      <c r="Q15" s="10">
        <v>0</v>
      </c>
      <c r="R15" s="10">
        <v>0</v>
      </c>
      <c r="S15" s="10">
        <v>-99</v>
      </c>
      <c r="T15" s="10">
        <v>0</v>
      </c>
      <c r="U15" s="10">
        <v>0</v>
      </c>
      <c r="V15" s="11">
        <v>-8.6999999999999994E-2</v>
      </c>
      <c r="W15" s="11">
        <v>-3.5000000000000003E-2</v>
      </c>
    </row>
    <row r="16" spans="1:23" x14ac:dyDescent="0.25">
      <c r="E16" s="34" t="s">
        <v>37</v>
      </c>
      <c r="F16" s="34" t="s">
        <v>94</v>
      </c>
      <c r="G16" s="34" t="s">
        <v>196</v>
      </c>
      <c r="H16" s="35">
        <v>16.096527777777776</v>
      </c>
      <c r="I16" s="35">
        <v>17.513593340595257</v>
      </c>
      <c r="J16" s="35">
        <v>57.955588392112034</v>
      </c>
      <c r="K16" s="35">
        <v>41.875434255771545</v>
      </c>
      <c r="L16" s="9">
        <v>0.17</v>
      </c>
      <c r="M16" s="9">
        <v>-0.05</v>
      </c>
      <c r="N16" s="9" t="str">
        <v>High</v>
      </c>
      <c r="O16" s="10" t="str">
        <v>Not High</v>
      </c>
      <c r="P16" s="10">
        <v>0</v>
      </c>
      <c r="Q16" s="10">
        <v>0</v>
      </c>
      <c r="R16" s="10">
        <v>0</v>
      </c>
      <c r="S16" s="10">
        <v>-99</v>
      </c>
      <c r="T16" s="10">
        <v>0</v>
      </c>
      <c r="U16" s="10">
        <v>0</v>
      </c>
      <c r="V16" s="11">
        <v>-0.05</v>
      </c>
      <c r="W16" s="11">
        <v>-1.2E-2</v>
      </c>
    </row>
    <row r="17" spans="1:23" ht="15.75" thickBot="1" x14ac:dyDescent="0.3">
      <c r="A17" s="41" t="s">
        <v>190</v>
      </c>
      <c r="B17" s="41"/>
      <c r="C17" s="41"/>
      <c r="E17" s="34" t="s">
        <v>38</v>
      </c>
      <c r="F17" s="34" t="s">
        <v>94</v>
      </c>
      <c r="G17" s="34" t="s">
        <v>196</v>
      </c>
      <c r="H17" s="35">
        <v>14.234027777777779</v>
      </c>
      <c r="I17" s="35">
        <v>16.241268282663903</v>
      </c>
      <c r="J17" s="35">
        <v>61.587445631525569</v>
      </c>
      <c r="K17" s="35">
        <v>42.703304051366544</v>
      </c>
      <c r="L17" s="9">
        <v>0.11</v>
      </c>
      <c r="M17" s="9">
        <v>-0.11</v>
      </c>
      <c r="N17" s="9" t="str">
        <v>High</v>
      </c>
      <c r="O17" s="10" t="str">
        <v>Not High</v>
      </c>
      <c r="P17" s="10">
        <v>0</v>
      </c>
      <c r="Q17" s="10">
        <v>0</v>
      </c>
      <c r="R17" s="10">
        <v>0</v>
      </c>
      <c r="S17" s="10">
        <v>-99</v>
      </c>
      <c r="T17" s="10">
        <v>0</v>
      </c>
      <c r="U17" s="10">
        <v>0</v>
      </c>
      <c r="V17" s="11">
        <v>7.0999999999999994E-2</v>
      </c>
      <c r="W17" s="11">
        <v>6.2E-2</v>
      </c>
    </row>
    <row r="18" spans="1:23" ht="15.75" thickBot="1" x14ac:dyDescent="0.3">
      <c r="A18" s="23" t="s">
        <v>105</v>
      </c>
      <c r="E18" s="34" t="s">
        <v>24</v>
      </c>
      <c r="F18" s="34" t="s">
        <v>49</v>
      </c>
      <c r="G18" s="34" t="s">
        <v>196</v>
      </c>
      <c r="H18" s="35">
        <v>12.566666666666666</v>
      </c>
      <c r="I18" s="35">
        <v>14.79860065728163</v>
      </c>
      <c r="J18" s="35">
        <v>62.664382439572996</v>
      </c>
      <c r="K18" s="35">
        <v>45.810362052994236</v>
      </c>
      <c r="L18" s="9">
        <v>0.1</v>
      </c>
      <c r="M18" s="9">
        <v>-0.13</v>
      </c>
      <c r="N18" s="9" t="str">
        <v>High</v>
      </c>
      <c r="O18" s="10" t="str">
        <v>Not High</v>
      </c>
      <c r="P18" s="10">
        <v>0</v>
      </c>
      <c r="Q18" s="10">
        <v>0</v>
      </c>
      <c r="R18" s="10">
        <v>0</v>
      </c>
      <c r="S18" s="10">
        <v>-99</v>
      </c>
      <c r="T18" s="10">
        <v>0</v>
      </c>
      <c r="U18" s="10">
        <v>0</v>
      </c>
      <c r="V18" s="11">
        <v>0.18</v>
      </c>
      <c r="W18" s="11">
        <v>0.14499999999999999</v>
      </c>
    </row>
    <row r="19" spans="1:23" x14ac:dyDescent="0.25">
      <c r="E19" s="34" t="s">
        <v>40</v>
      </c>
      <c r="F19" s="34" t="s">
        <v>59</v>
      </c>
      <c r="G19" s="34" t="s">
        <v>196</v>
      </c>
      <c r="H19" s="35">
        <v>14.861111111111111</v>
      </c>
      <c r="I19" s="35">
        <v>16.363286670338358</v>
      </c>
      <c r="J19" s="35">
        <v>69.482363819977138</v>
      </c>
      <c r="K19" s="35">
        <v>37.248562467285268</v>
      </c>
      <c r="L19" s="9">
        <v>0</v>
      </c>
      <c r="M19" s="9">
        <v>-0.26</v>
      </c>
      <c r="N19" s="9" t="str">
        <v>High</v>
      </c>
      <c r="O19" s="10" t="str">
        <v>Not High</v>
      </c>
      <c r="P19" s="10">
        <v>0</v>
      </c>
      <c r="Q19" s="10">
        <v>0</v>
      </c>
      <c r="R19" s="10">
        <v>0</v>
      </c>
      <c r="S19" s="10">
        <v>-99</v>
      </c>
      <c r="T19" s="10">
        <v>0</v>
      </c>
      <c r="U19" s="10">
        <v>0</v>
      </c>
      <c r="V19" s="11">
        <v>0.03</v>
      </c>
      <c r="W19" s="11">
        <v>5.5E-2</v>
      </c>
    </row>
    <row r="20" spans="1:23" x14ac:dyDescent="0.25">
      <c r="A20" s="40" t="s">
        <v>188</v>
      </c>
      <c r="B20" s="40"/>
      <c r="C20" s="40"/>
      <c r="E20" s="34" t="s">
        <v>41</v>
      </c>
      <c r="F20" s="34" t="s">
        <v>59</v>
      </c>
      <c r="G20" s="34" t="s">
        <v>196</v>
      </c>
      <c r="H20" s="35">
        <v>15.95</v>
      </c>
      <c r="I20" s="35">
        <v>17.801092299599915</v>
      </c>
      <c r="J20" s="35">
        <v>74.781069683973243</v>
      </c>
      <c r="K20" s="35">
        <v>44.344826490744126</v>
      </c>
      <c r="L20" s="9">
        <v>-0.08</v>
      </c>
      <c r="M20" s="9">
        <v>-0.35</v>
      </c>
      <c r="N20" s="9" t="str">
        <v>High</v>
      </c>
      <c r="O20" s="10" t="str">
        <v>Not High</v>
      </c>
      <c r="P20" s="10">
        <v>0</v>
      </c>
      <c r="Q20" s="10">
        <v>0</v>
      </c>
      <c r="R20" s="10">
        <v>0</v>
      </c>
      <c r="S20" s="10">
        <v>-99</v>
      </c>
      <c r="T20" s="10">
        <v>0</v>
      </c>
      <c r="U20" s="10">
        <v>0</v>
      </c>
      <c r="V20" s="11">
        <v>-4.1000000000000002E-2</v>
      </c>
      <c r="W20" s="11">
        <v>-2.8000000000000001E-2</v>
      </c>
    </row>
    <row r="21" spans="1:23" ht="15.75" thickBot="1" x14ac:dyDescent="0.3">
      <c r="A21" s="24" t="s">
        <v>8</v>
      </c>
      <c r="B21" s="25" t="s">
        <v>11</v>
      </c>
      <c r="C21" s="25" t="s">
        <v>5</v>
      </c>
      <c r="E21" s="34" t="s">
        <v>43</v>
      </c>
      <c r="F21" s="34" t="s">
        <v>49</v>
      </c>
      <c r="G21" s="34" t="s">
        <v>196</v>
      </c>
      <c r="H21" s="35">
        <v>15.822222222222225</v>
      </c>
      <c r="I21" s="35">
        <v>17.00306160467899</v>
      </c>
      <c r="J21" s="35">
        <v>66.226633039032293</v>
      </c>
      <c r="K21" s="35">
        <v>48.552450361909621</v>
      </c>
      <c r="L21" s="9">
        <v>0.05</v>
      </c>
      <c r="M21" s="9">
        <v>-0.2</v>
      </c>
      <c r="N21" s="9" t="str">
        <v>High</v>
      </c>
      <c r="O21" s="10" t="str">
        <v>Not High</v>
      </c>
      <c r="P21" s="10">
        <v>0</v>
      </c>
      <c r="Q21" s="10">
        <v>0</v>
      </c>
      <c r="R21" s="10">
        <v>0</v>
      </c>
      <c r="S21" s="10">
        <v>-99</v>
      </c>
      <c r="T21" s="10">
        <v>0</v>
      </c>
      <c r="U21" s="10">
        <v>0</v>
      </c>
      <c r="V21" s="11">
        <v>-3.2000000000000001E-2</v>
      </c>
      <c r="W21" s="11">
        <v>1.7999999999999999E-2</v>
      </c>
    </row>
    <row r="22" spans="1:23" x14ac:dyDescent="0.25">
      <c r="A22" t="s">
        <v>210</v>
      </c>
      <c r="B22" s="26" t="s">
        <v>13</v>
      </c>
      <c r="C22" s="27" t="s">
        <v>12</v>
      </c>
      <c r="E22" s="34" t="s">
        <v>25</v>
      </c>
      <c r="F22" s="34" t="s">
        <v>52</v>
      </c>
      <c r="G22" s="34" t="s">
        <v>196</v>
      </c>
      <c r="H22" s="35">
        <v>14.033333333333333</v>
      </c>
      <c r="I22" s="35">
        <v>15.595677463803712</v>
      </c>
      <c r="J22" s="35">
        <v>65.150359620760128</v>
      </c>
      <c r="K22" s="35">
        <v>39.809256096367385</v>
      </c>
      <c r="L22" s="9">
        <v>0.06</v>
      </c>
      <c r="M22" s="9">
        <v>-0.18</v>
      </c>
      <c r="N22" s="9" t="str">
        <v>High</v>
      </c>
      <c r="O22" s="10" t="str">
        <v>Not High</v>
      </c>
      <c r="P22" s="10">
        <v>0</v>
      </c>
      <c r="Q22" s="10">
        <v>0</v>
      </c>
      <c r="R22" s="10">
        <v>0</v>
      </c>
      <c r="S22" s="10">
        <v>-99</v>
      </c>
      <c r="T22" s="10">
        <v>0</v>
      </c>
      <c r="U22" s="10">
        <v>0</v>
      </c>
      <c r="V22" s="11">
        <v>8.4000000000000005E-2</v>
      </c>
      <c r="W22" s="11">
        <v>9.9000000000000005E-2</v>
      </c>
    </row>
    <row r="23" spans="1:23" x14ac:dyDescent="0.25">
      <c r="A23" t="s">
        <v>211</v>
      </c>
      <c r="B23" s="28" t="s">
        <v>15</v>
      </c>
      <c r="C23" s="29" t="s">
        <v>12</v>
      </c>
      <c r="E23" s="34" t="s">
        <v>26</v>
      </c>
      <c r="F23" s="34" t="s">
        <v>49</v>
      </c>
      <c r="G23" s="34" t="s">
        <v>196</v>
      </c>
      <c r="H23" s="35">
        <v>13.488888888888887</v>
      </c>
      <c r="I23" s="35">
        <v>15.743286287643388</v>
      </c>
      <c r="J23" s="35">
        <v>64.823922553701777</v>
      </c>
      <c r="K23" s="35">
        <v>43.928134953134837</v>
      </c>
      <c r="L23" s="9">
        <v>7.0000000000000007E-2</v>
      </c>
      <c r="M23" s="9">
        <v>-0.17</v>
      </c>
      <c r="N23" s="9" t="str">
        <v>High</v>
      </c>
      <c r="O23" s="10" t="str">
        <v>Not High</v>
      </c>
      <c r="P23" s="10">
        <v>0</v>
      </c>
      <c r="Q23" s="10">
        <v>0</v>
      </c>
      <c r="R23" s="10">
        <v>0</v>
      </c>
      <c r="S23" s="10">
        <v>-99</v>
      </c>
      <c r="T23" s="10">
        <v>0</v>
      </c>
      <c r="U23" s="10">
        <v>0</v>
      </c>
      <c r="V23" s="11">
        <v>0.12</v>
      </c>
      <c r="W23" s="11">
        <v>9.0999999999999998E-2</v>
      </c>
    </row>
    <row r="24" spans="1:23" x14ac:dyDescent="0.25">
      <c r="A24" t="s">
        <v>181</v>
      </c>
      <c r="B24" s="28" t="s">
        <v>14</v>
      </c>
      <c r="C24" s="29" t="s">
        <v>14</v>
      </c>
      <c r="E24" s="34" t="s">
        <v>27</v>
      </c>
      <c r="F24" s="34" t="s">
        <v>49</v>
      </c>
      <c r="G24" s="34" t="s">
        <v>196</v>
      </c>
      <c r="H24" s="35">
        <v>13.455555555555556</v>
      </c>
      <c r="I24" s="35">
        <v>14.991153119414172</v>
      </c>
      <c r="J24" s="35">
        <v>65.101229398132745</v>
      </c>
      <c r="K24" s="35">
        <v>42.642187509971208</v>
      </c>
      <c r="L24" s="9">
        <v>0.06</v>
      </c>
      <c r="M24" s="9">
        <v>-0.18</v>
      </c>
      <c r="N24" s="9" t="str">
        <v>High</v>
      </c>
      <c r="O24" s="10" t="str">
        <v>Not High</v>
      </c>
      <c r="P24" s="10">
        <v>0</v>
      </c>
      <c r="Q24" s="10">
        <v>0</v>
      </c>
      <c r="R24" s="10">
        <v>0</v>
      </c>
      <c r="S24" s="10">
        <v>-99</v>
      </c>
      <c r="T24" s="10">
        <v>0</v>
      </c>
      <c r="U24" s="10">
        <v>0</v>
      </c>
      <c r="V24" s="11">
        <v>0.122</v>
      </c>
      <c r="W24" s="11">
        <v>0.13400000000000001</v>
      </c>
    </row>
    <row r="25" spans="1:23" ht="15.75" thickBot="1" x14ac:dyDescent="0.3">
      <c r="A25" t="s">
        <v>182</v>
      </c>
      <c r="B25" s="30" t="s">
        <v>12</v>
      </c>
      <c r="C25" s="31" t="s">
        <v>12</v>
      </c>
      <c r="E25" s="34" t="s">
        <v>48</v>
      </c>
      <c r="F25" s="34" t="s">
        <v>49</v>
      </c>
      <c r="G25" s="34" t="s">
        <v>196</v>
      </c>
      <c r="H25" s="35">
        <v>17.816666666666666</v>
      </c>
      <c r="I25" s="35">
        <v>19.577843889789726</v>
      </c>
      <c r="J25" s="35">
        <v>64.834385477265769</v>
      </c>
      <c r="K25" s="35">
        <v>61.139577692282728</v>
      </c>
      <c r="L25" s="9">
        <v>7.0000000000000007E-2</v>
      </c>
      <c r="M25" s="9">
        <v>-0.17</v>
      </c>
      <c r="N25" s="9" t="str">
        <v>High</v>
      </c>
      <c r="O25" s="10" t="str">
        <v>High</v>
      </c>
      <c r="P25" s="10">
        <v>0</v>
      </c>
      <c r="Q25" s="10">
        <v>0</v>
      </c>
      <c r="R25" s="10">
        <v>0</v>
      </c>
      <c r="S25" s="10">
        <v>-99</v>
      </c>
      <c r="T25" s="10">
        <v>0</v>
      </c>
      <c r="U25" s="10">
        <v>0</v>
      </c>
      <c r="V25" s="11">
        <v>-0.16300000000000001</v>
      </c>
      <c r="W25" s="11">
        <v>-0.13100000000000001</v>
      </c>
    </row>
    <row r="26" spans="1:23" x14ac:dyDescent="0.25">
      <c r="A26" s="12"/>
      <c r="B26" s="13"/>
      <c r="C26" s="13"/>
      <c r="E26" s="34" t="s">
        <v>50</v>
      </c>
      <c r="F26" s="34" t="s">
        <v>49</v>
      </c>
      <c r="G26" s="34" t="s">
        <v>196</v>
      </c>
      <c r="H26" s="35">
        <v>17.900000000000002</v>
      </c>
      <c r="I26" s="35">
        <v>19.075826178044682</v>
      </c>
      <c r="J26" s="35">
        <v>66.798716942322741</v>
      </c>
      <c r="K26" s="35">
        <v>63.710497249069078</v>
      </c>
      <c r="L26" s="9">
        <v>0.04</v>
      </c>
      <c r="M26" s="9">
        <v>-0.21</v>
      </c>
      <c r="N26" s="9" t="str">
        <v>High</v>
      </c>
      <c r="O26" s="10" t="str">
        <v>High</v>
      </c>
      <c r="P26" s="10">
        <v>0</v>
      </c>
      <c r="Q26" s="10">
        <v>0</v>
      </c>
      <c r="R26" s="10">
        <v>0</v>
      </c>
      <c r="S26" s="10">
        <v>-99</v>
      </c>
      <c r="T26" s="10">
        <v>0</v>
      </c>
      <c r="U26" s="10">
        <v>0</v>
      </c>
      <c r="V26" s="11">
        <v>-0.16800000000000001</v>
      </c>
      <c r="W26" s="11">
        <v>-0.10199999999999999</v>
      </c>
    </row>
    <row r="27" spans="1:23" x14ac:dyDescent="0.25">
      <c r="A27" s="32" t="s">
        <v>189</v>
      </c>
      <c r="B27" s="33"/>
      <c r="C27" s="33"/>
      <c r="E27" s="34" t="s">
        <v>51</v>
      </c>
      <c r="F27" s="34" t="s">
        <v>52</v>
      </c>
      <c r="G27" s="34" t="s">
        <v>196</v>
      </c>
      <c r="H27" s="35">
        <v>17.649999999999999</v>
      </c>
      <c r="I27" s="35">
        <v>21.03580741714913</v>
      </c>
      <c r="J27" s="35">
        <v>64.537393696209548</v>
      </c>
      <c r="K27" s="35">
        <v>61.942878251789374</v>
      </c>
      <c r="L27" s="9">
        <v>7.0000000000000007E-2</v>
      </c>
      <c r="M27" s="9">
        <v>-0.17</v>
      </c>
      <c r="N27" s="9" t="str">
        <v>High</v>
      </c>
      <c r="O27" s="10" t="str">
        <v>High</v>
      </c>
      <c r="P27" s="10">
        <v>0</v>
      </c>
      <c r="Q27" s="10">
        <v>0</v>
      </c>
      <c r="R27" s="10">
        <v>0</v>
      </c>
      <c r="S27" s="10">
        <v>-99</v>
      </c>
      <c r="T27" s="10">
        <v>0</v>
      </c>
      <c r="U27" s="10">
        <v>0</v>
      </c>
      <c r="V27" s="11">
        <v>-0.152</v>
      </c>
      <c r="W27" s="11">
        <v>-0.215</v>
      </c>
    </row>
    <row r="28" spans="1:23" ht="15.75" thickBot="1" x14ac:dyDescent="0.3">
      <c r="A28" s="24" t="s">
        <v>8</v>
      </c>
      <c r="B28" s="25" t="s">
        <v>9</v>
      </c>
      <c r="C28" s="25" t="s">
        <v>10</v>
      </c>
      <c r="E28" s="34" t="s">
        <v>58</v>
      </c>
      <c r="F28" s="34" t="s">
        <v>59</v>
      </c>
      <c r="G28" s="34" t="s">
        <v>196</v>
      </c>
      <c r="H28" s="35">
        <v>16.233333333333331</v>
      </c>
      <c r="I28" s="35">
        <v>18.633936518565168</v>
      </c>
      <c r="J28" s="35">
        <v>66.010015922635901</v>
      </c>
      <c r="K28" s="35">
        <v>49.923387226874304</v>
      </c>
      <c r="L28" s="9">
        <v>0.05</v>
      </c>
      <c r="M28" s="9">
        <v>-0.19</v>
      </c>
      <c r="N28" s="9" t="str">
        <v>High</v>
      </c>
      <c r="O28" s="10" t="str">
        <v>Not High</v>
      </c>
      <c r="P28" s="10">
        <v>0</v>
      </c>
      <c r="Q28" s="10">
        <v>0</v>
      </c>
      <c r="R28" s="10">
        <v>0</v>
      </c>
      <c r="S28" s="10">
        <v>-99</v>
      </c>
      <c r="T28" s="10">
        <v>0</v>
      </c>
      <c r="U28" s="10">
        <v>0</v>
      </c>
      <c r="V28" s="11">
        <v>-5.8999999999999997E-2</v>
      </c>
      <c r="W28" s="11">
        <v>-7.5999999999999998E-2</v>
      </c>
    </row>
    <row r="29" spans="1:23" x14ac:dyDescent="0.25">
      <c r="A29" t="s">
        <v>210</v>
      </c>
      <c r="B29" s="26">
        <v>2</v>
      </c>
      <c r="C29" s="27">
        <v>1</v>
      </c>
      <c r="E29" s="34" t="s">
        <v>64</v>
      </c>
      <c r="F29" s="34" t="s">
        <v>59</v>
      </c>
      <c r="G29" s="34" t="s">
        <v>196</v>
      </c>
      <c r="H29" s="35">
        <v>16.516666666666669</v>
      </c>
      <c r="I29" s="35">
        <v>19.171462607525232</v>
      </c>
      <c r="J29" s="35">
        <v>65.39324688912852</v>
      </c>
      <c r="K29" s="35">
        <v>49.723533447827656</v>
      </c>
      <c r="L29" s="9">
        <v>0.06</v>
      </c>
      <c r="M29" s="9">
        <v>-0.18</v>
      </c>
      <c r="N29" s="9" t="str">
        <v>High</v>
      </c>
      <c r="O29" s="10" t="str">
        <v>Not High</v>
      </c>
      <c r="P29" s="10">
        <v>0</v>
      </c>
      <c r="Q29" s="10">
        <v>0</v>
      </c>
      <c r="R29" s="10">
        <v>0</v>
      </c>
      <c r="S29" s="10">
        <v>-99</v>
      </c>
      <c r="T29" s="10">
        <v>0</v>
      </c>
      <c r="U29" s="10">
        <v>0</v>
      </c>
      <c r="V29" s="11">
        <v>-7.8E-2</v>
      </c>
      <c r="W29" s="11">
        <v>-0.107</v>
      </c>
    </row>
    <row r="30" spans="1:23" x14ac:dyDescent="0.25">
      <c r="A30" t="s">
        <v>211</v>
      </c>
      <c r="B30" s="28">
        <v>2</v>
      </c>
      <c r="C30" s="29">
        <v>1</v>
      </c>
      <c r="E30" s="34" t="s">
        <v>67</v>
      </c>
      <c r="F30" s="34" t="s">
        <v>68</v>
      </c>
      <c r="G30" s="34" t="s">
        <v>196</v>
      </c>
      <c r="H30" s="35">
        <v>18.579999999999998</v>
      </c>
      <c r="I30" s="35">
        <v>20.429070228976389</v>
      </c>
      <c r="J30" s="35">
        <v>63.34166154380663</v>
      </c>
      <c r="K30" s="35">
        <v>55.294920378025594</v>
      </c>
      <c r="L30" s="9">
        <v>0.09</v>
      </c>
      <c r="M30" s="9">
        <v>-0.15</v>
      </c>
      <c r="N30" s="9" t="str">
        <v>High</v>
      </c>
      <c r="O30" s="10" t="str">
        <v>Not High</v>
      </c>
      <c r="P30" s="10">
        <v>0</v>
      </c>
      <c r="Q30" s="10">
        <v>0</v>
      </c>
      <c r="R30" s="10">
        <v>0</v>
      </c>
      <c r="S30" s="10">
        <v>-99</v>
      </c>
      <c r="T30" s="10">
        <v>0</v>
      </c>
      <c r="U30" s="10">
        <v>0</v>
      </c>
      <c r="V30" s="11">
        <v>-0.21199999999999999</v>
      </c>
      <c r="W30" s="11">
        <v>-0.18</v>
      </c>
    </row>
    <row r="31" spans="1:23" x14ac:dyDescent="0.25">
      <c r="A31" t="s">
        <v>181</v>
      </c>
      <c r="B31" s="28">
        <v>1</v>
      </c>
      <c r="C31" s="29">
        <v>0</v>
      </c>
      <c r="E31" s="34" t="s">
        <v>29</v>
      </c>
      <c r="F31" s="34" t="s">
        <v>59</v>
      </c>
      <c r="G31" s="34" t="s">
        <v>196</v>
      </c>
      <c r="H31" s="35">
        <v>12.077777777777776</v>
      </c>
      <c r="I31" s="35">
        <v>15.332664922405801</v>
      </c>
      <c r="J31" s="35">
        <v>63.41720622573866</v>
      </c>
      <c r="K31" s="35">
        <v>44.537305758953359</v>
      </c>
      <c r="L31" s="9">
        <v>0.09</v>
      </c>
      <c r="M31" s="9">
        <v>-0.15</v>
      </c>
      <c r="N31" s="9" t="str">
        <v>High</v>
      </c>
      <c r="O31" s="10" t="str">
        <v>Not High</v>
      </c>
      <c r="P31" s="10">
        <v>0</v>
      </c>
      <c r="Q31" s="10">
        <v>0</v>
      </c>
      <c r="R31" s="10">
        <v>0</v>
      </c>
      <c r="S31" s="10">
        <v>-99</v>
      </c>
      <c r="T31" s="10">
        <v>0</v>
      </c>
      <c r="U31" s="10">
        <v>0</v>
      </c>
      <c r="V31" s="11">
        <v>0.21199999999999999</v>
      </c>
      <c r="W31" s="11">
        <v>0.114</v>
      </c>
    </row>
    <row r="32" spans="1:23" ht="15.75" thickBot="1" x14ac:dyDescent="0.3">
      <c r="A32" t="s">
        <v>182</v>
      </c>
      <c r="B32" s="30">
        <v>1</v>
      </c>
      <c r="C32" s="31">
        <v>2</v>
      </c>
      <c r="E32" s="34" t="s">
        <v>73</v>
      </c>
      <c r="F32" s="34" t="s">
        <v>49</v>
      </c>
      <c r="G32" s="34" t="s">
        <v>196</v>
      </c>
      <c r="H32" s="35">
        <v>18.633333333333333</v>
      </c>
      <c r="I32" s="35">
        <v>20.192897576545924</v>
      </c>
      <c r="J32" s="35">
        <v>69.145009739727442</v>
      </c>
      <c r="K32" s="35">
        <v>57.15228592406671</v>
      </c>
      <c r="L32" s="9">
        <v>0</v>
      </c>
      <c r="M32" s="9">
        <v>-0.25</v>
      </c>
      <c r="N32" s="9" t="str">
        <v>High</v>
      </c>
      <c r="O32" s="10" t="str">
        <v>Not High</v>
      </c>
      <c r="P32" s="10">
        <v>0</v>
      </c>
      <c r="Q32" s="10">
        <v>0</v>
      </c>
      <c r="R32" s="10">
        <v>0</v>
      </c>
      <c r="S32" s="10">
        <v>-99</v>
      </c>
      <c r="T32" s="10">
        <v>0</v>
      </c>
      <c r="U32" s="10">
        <v>0</v>
      </c>
      <c r="V32" s="11">
        <v>-0.216</v>
      </c>
      <c r="W32" s="11">
        <v>-0.16600000000000001</v>
      </c>
    </row>
    <row r="33" spans="5:23" x14ac:dyDescent="0.25">
      <c r="E33" s="34" t="s">
        <v>74</v>
      </c>
      <c r="F33" s="34" t="s">
        <v>75</v>
      </c>
      <c r="G33" s="34" t="s">
        <v>196</v>
      </c>
      <c r="H33" s="35">
        <v>17.349999999999998</v>
      </c>
      <c r="I33" s="35">
        <v>18.520221478222499</v>
      </c>
      <c r="J33" s="35">
        <v>56.471755305333609</v>
      </c>
      <c r="K33" s="35">
        <v>48.848680433672591</v>
      </c>
      <c r="L33" s="9">
        <v>0.19</v>
      </c>
      <c r="M33" s="9">
        <v>-0.02</v>
      </c>
      <c r="N33" s="9" t="str">
        <v>High</v>
      </c>
      <c r="O33" s="10" t="str">
        <v>Not High</v>
      </c>
      <c r="P33" s="10">
        <v>0</v>
      </c>
      <c r="Q33" s="10">
        <v>0</v>
      </c>
      <c r="R33" s="10">
        <v>0</v>
      </c>
      <c r="S33" s="10">
        <v>-99</v>
      </c>
      <c r="T33" s="10">
        <v>0</v>
      </c>
      <c r="U33" s="10">
        <v>0</v>
      </c>
      <c r="V33" s="11">
        <v>-0.13200000000000001</v>
      </c>
      <c r="W33" s="11">
        <v>-7.0000000000000007E-2</v>
      </c>
    </row>
    <row r="34" spans="5:23" x14ac:dyDescent="0.25">
      <c r="E34" s="34" t="s">
        <v>78</v>
      </c>
      <c r="F34" s="34" t="s">
        <v>49</v>
      </c>
      <c r="G34" s="34" t="s">
        <v>196</v>
      </c>
      <c r="H34" s="35">
        <v>17.359999999999996</v>
      </c>
      <c r="I34" s="35">
        <v>18.904802659172816</v>
      </c>
      <c r="J34" s="35">
        <v>50.869554044879997</v>
      </c>
      <c r="K34" s="35">
        <v>64.672500570595474</v>
      </c>
      <c r="L34" s="9">
        <v>0.27</v>
      </c>
      <c r="M34" s="9">
        <v>0.08</v>
      </c>
      <c r="N34" s="9" t="str">
        <v>Medium</v>
      </c>
      <c r="O34" s="10" t="str">
        <v>High</v>
      </c>
      <c r="P34" s="10">
        <v>0</v>
      </c>
      <c r="Q34" s="10">
        <v>0</v>
      </c>
      <c r="R34" s="10">
        <v>0</v>
      </c>
      <c r="S34" s="10">
        <v>-99</v>
      </c>
      <c r="T34" s="10">
        <v>0</v>
      </c>
      <c r="U34" s="10">
        <v>0</v>
      </c>
      <c r="V34" s="11">
        <v>-0.13300000000000001</v>
      </c>
      <c r="W34" s="11">
        <v>-9.1999999999999998E-2</v>
      </c>
    </row>
    <row r="35" spans="5:23" x14ac:dyDescent="0.25">
      <c r="E35" s="34" t="s">
        <v>79</v>
      </c>
      <c r="F35" s="34" t="s">
        <v>49</v>
      </c>
      <c r="G35" s="34" t="s">
        <v>196</v>
      </c>
      <c r="H35" s="35">
        <v>17.950000000000003</v>
      </c>
      <c r="I35" s="35">
        <v>19.362200508984568</v>
      </c>
      <c r="J35" s="35">
        <v>61.816597612352233</v>
      </c>
      <c r="K35" s="35">
        <v>52.463556426282175</v>
      </c>
      <c r="L35" s="9">
        <v>0.11</v>
      </c>
      <c r="M35" s="9">
        <v>-0.12</v>
      </c>
      <c r="N35" s="9" t="str">
        <v>High</v>
      </c>
      <c r="O35" s="10" t="str">
        <v>Not High</v>
      </c>
      <c r="P35" s="10">
        <v>0</v>
      </c>
      <c r="Q35" s="10">
        <v>0</v>
      </c>
      <c r="R35" s="10">
        <v>0</v>
      </c>
      <c r="S35" s="10">
        <v>-99</v>
      </c>
      <c r="T35" s="10">
        <v>0</v>
      </c>
      <c r="U35" s="10">
        <v>0</v>
      </c>
      <c r="V35" s="11">
        <v>-0.17100000000000001</v>
      </c>
      <c r="W35" s="11">
        <v>-0.11799999999999999</v>
      </c>
    </row>
    <row r="36" spans="5:23" x14ac:dyDescent="0.25">
      <c r="E36" s="34" t="s">
        <v>149</v>
      </c>
      <c r="F36" s="34" t="s">
        <v>203</v>
      </c>
      <c r="G36" s="34" t="s">
        <v>204</v>
      </c>
      <c r="H36" s="35">
        <v>16.533333333333331</v>
      </c>
      <c r="I36" s="35">
        <v>18.598185899718629</v>
      </c>
      <c r="J36" s="35">
        <v>58.067284513715158</v>
      </c>
      <c r="K36" s="35">
        <v>63.007518109150297</v>
      </c>
      <c r="L36" s="9">
        <v>0.16</v>
      </c>
      <c r="M36" s="9">
        <v>-0.05</v>
      </c>
      <c r="N36" s="9" t="str">
        <v>High</v>
      </c>
      <c r="O36" s="10" t="str">
        <v>High</v>
      </c>
      <c r="P36" s="10">
        <v>0</v>
      </c>
      <c r="Q36" s="10">
        <v>0</v>
      </c>
      <c r="R36" s="10">
        <v>0</v>
      </c>
      <c r="S36" s="10">
        <v>-99</v>
      </c>
      <c r="T36" s="10">
        <v>0</v>
      </c>
      <c r="U36" s="10">
        <v>0</v>
      </c>
      <c r="V36" s="11">
        <v>-7.9000000000000001E-2</v>
      </c>
      <c r="W36" s="11">
        <v>-7.3999999999999996E-2</v>
      </c>
    </row>
    <row r="37" spans="5:23" x14ac:dyDescent="0.25">
      <c r="E37" s="34" t="s">
        <v>150</v>
      </c>
      <c r="F37" s="34" t="s">
        <v>203</v>
      </c>
      <c r="G37" s="34" t="s">
        <v>204</v>
      </c>
      <c r="H37" s="35">
        <v>15.877777777777775</v>
      </c>
      <c r="I37" s="35">
        <v>18.073454166303854</v>
      </c>
      <c r="J37" s="35">
        <v>56.340462387369222</v>
      </c>
      <c r="K37" s="35">
        <v>65.93966888452043</v>
      </c>
      <c r="L37" s="9">
        <v>0.19</v>
      </c>
      <c r="M37" s="9">
        <v>-0.02</v>
      </c>
      <c r="N37" s="9" t="str">
        <v>High</v>
      </c>
      <c r="O37" s="10" t="str">
        <v>High</v>
      </c>
      <c r="P37" s="10">
        <v>0</v>
      </c>
      <c r="Q37" s="10">
        <v>0</v>
      </c>
      <c r="R37" s="10">
        <v>0</v>
      </c>
      <c r="S37" s="10">
        <v>-99</v>
      </c>
      <c r="T37" s="10">
        <v>0</v>
      </c>
      <c r="U37" s="10">
        <v>0</v>
      </c>
      <c r="V37" s="11">
        <v>-3.5999999999999997E-2</v>
      </c>
      <c r="W37" s="11">
        <v>-4.3999999999999997E-2</v>
      </c>
    </row>
    <row r="38" spans="5:23" x14ac:dyDescent="0.25">
      <c r="E38" s="34" t="s">
        <v>151</v>
      </c>
      <c r="F38" s="34" t="s">
        <v>203</v>
      </c>
      <c r="G38" s="34" t="s">
        <v>204</v>
      </c>
      <c r="H38" s="35">
        <v>16.225000000000001</v>
      </c>
      <c r="I38" s="35">
        <v>18.187534452551631</v>
      </c>
      <c r="J38" s="35">
        <v>56.196176521345279</v>
      </c>
      <c r="K38" s="35">
        <v>66.576175545176923</v>
      </c>
      <c r="L38" s="9">
        <v>0.19</v>
      </c>
      <c r="M38" s="9">
        <v>-0.02</v>
      </c>
      <c r="N38" s="9" t="str">
        <v>High</v>
      </c>
      <c r="O38" s="10" t="str">
        <v>High</v>
      </c>
      <c r="P38" s="10">
        <v>0</v>
      </c>
      <c r="Q38" s="10">
        <v>0</v>
      </c>
      <c r="R38" s="10">
        <v>0</v>
      </c>
      <c r="S38" s="10">
        <v>-99</v>
      </c>
      <c r="T38" s="10">
        <v>0</v>
      </c>
      <c r="U38" s="10">
        <v>0</v>
      </c>
      <c r="V38" s="11">
        <v>-5.8999999999999997E-2</v>
      </c>
      <c r="W38" s="11">
        <v>-5.0999999999999997E-2</v>
      </c>
    </row>
    <row r="39" spans="5:23" x14ac:dyDescent="0.25">
      <c r="E39" s="34" t="s">
        <v>152</v>
      </c>
      <c r="F39" s="34" t="s">
        <v>203</v>
      </c>
      <c r="G39" s="34" t="s">
        <v>204</v>
      </c>
      <c r="H39" s="35">
        <v>16.277777777777782</v>
      </c>
      <c r="I39" s="35">
        <v>18.226067805883211</v>
      </c>
      <c r="J39" s="35">
        <v>58.01078147047096</v>
      </c>
      <c r="K39" s="35">
        <v>62.527870416963623</v>
      </c>
      <c r="L39" s="9">
        <v>0.16</v>
      </c>
      <c r="M39" s="9">
        <v>-0.05</v>
      </c>
      <c r="N39" s="9" t="str">
        <v>High</v>
      </c>
      <c r="O39" s="10" t="str">
        <v>High</v>
      </c>
      <c r="P39" s="10">
        <v>0</v>
      </c>
      <c r="Q39" s="10">
        <v>0</v>
      </c>
      <c r="R39" s="10">
        <v>0</v>
      </c>
      <c r="S39" s="10">
        <v>-99</v>
      </c>
      <c r="T39" s="10">
        <v>0</v>
      </c>
      <c r="U39" s="10">
        <v>0</v>
      </c>
      <c r="V39" s="11">
        <v>-6.2E-2</v>
      </c>
      <c r="W39" s="11">
        <v>-5.2999999999999999E-2</v>
      </c>
    </row>
    <row r="40" spans="5:23" x14ac:dyDescent="0.25">
      <c r="E40" s="34" t="s">
        <v>153</v>
      </c>
      <c r="F40" s="34" t="s">
        <v>203</v>
      </c>
      <c r="G40" s="34" t="s">
        <v>204</v>
      </c>
      <c r="H40" s="35">
        <v>16.644444444444442</v>
      </c>
      <c r="I40" s="35">
        <v>18.6339784066774</v>
      </c>
      <c r="J40" s="35">
        <v>58.491466153702696</v>
      </c>
      <c r="K40" s="35">
        <v>61.798790173867701</v>
      </c>
      <c r="L40" s="9">
        <v>0.16</v>
      </c>
      <c r="M40" s="9">
        <v>-0.06</v>
      </c>
      <c r="N40" s="9" t="str">
        <v>High</v>
      </c>
      <c r="O40" s="10" t="str">
        <v>High</v>
      </c>
      <c r="P40" s="10">
        <v>0</v>
      </c>
      <c r="Q40" s="10">
        <v>0</v>
      </c>
      <c r="R40" s="10">
        <v>0</v>
      </c>
      <c r="S40" s="10">
        <v>-99</v>
      </c>
      <c r="T40" s="10">
        <v>0</v>
      </c>
      <c r="U40" s="10">
        <v>0</v>
      </c>
      <c r="V40" s="11">
        <v>-8.5999999999999993E-2</v>
      </c>
      <c r="W40" s="11">
        <v>-7.5999999999999998E-2</v>
      </c>
    </row>
    <row r="41" spans="5:23" x14ac:dyDescent="0.25">
      <c r="E41" s="34" t="s">
        <v>154</v>
      </c>
      <c r="F41" s="34" t="s">
        <v>203</v>
      </c>
      <c r="G41" s="34" t="s">
        <v>204</v>
      </c>
      <c r="H41" s="35">
        <v>16.266666666666666</v>
      </c>
      <c r="I41" s="35">
        <v>18.49899629349764</v>
      </c>
      <c r="J41" s="35">
        <v>58.114733934108735</v>
      </c>
      <c r="K41" s="35">
        <v>61.697264272305624</v>
      </c>
      <c r="L41" s="9">
        <v>0.16</v>
      </c>
      <c r="M41" s="9">
        <v>-0.05</v>
      </c>
      <c r="N41" s="9" t="str">
        <v>High</v>
      </c>
      <c r="O41" s="10" t="str">
        <v>High</v>
      </c>
      <c r="P41" s="10">
        <v>0</v>
      </c>
      <c r="Q41" s="10">
        <v>0</v>
      </c>
      <c r="R41" s="10">
        <v>0</v>
      </c>
      <c r="S41" s="10">
        <v>-99</v>
      </c>
      <c r="T41" s="10">
        <v>0</v>
      </c>
      <c r="U41" s="10">
        <v>0</v>
      </c>
      <c r="V41" s="11">
        <v>-6.0999999999999999E-2</v>
      </c>
      <c r="W41" s="11">
        <v>-6.9000000000000006E-2</v>
      </c>
    </row>
    <row r="42" spans="5:23" x14ac:dyDescent="0.25">
      <c r="E42" s="34" t="s">
        <v>155</v>
      </c>
      <c r="F42" s="34" t="s">
        <v>203</v>
      </c>
      <c r="G42" s="34" t="s">
        <v>204</v>
      </c>
      <c r="H42" s="35">
        <v>16.066666666666666</v>
      </c>
      <c r="I42" s="35">
        <v>18.072292383280232</v>
      </c>
      <c r="J42" s="35">
        <v>57.81204458066366</v>
      </c>
      <c r="K42" s="35">
        <v>61.759499948026637</v>
      </c>
      <c r="L42" s="9">
        <v>0.17</v>
      </c>
      <c r="M42" s="9">
        <v>-0.05</v>
      </c>
      <c r="N42" s="9" t="str">
        <v>High</v>
      </c>
      <c r="O42" s="10" t="str">
        <v>High</v>
      </c>
      <c r="P42" s="10">
        <v>0</v>
      </c>
      <c r="Q42" s="10">
        <v>0</v>
      </c>
      <c r="R42" s="10">
        <v>0</v>
      </c>
      <c r="S42" s="10">
        <v>-99</v>
      </c>
      <c r="T42" s="10">
        <v>0</v>
      </c>
      <c r="U42" s="10">
        <v>0</v>
      </c>
      <c r="V42" s="11">
        <v>-4.8000000000000001E-2</v>
      </c>
      <c r="W42" s="11">
        <v>-4.3999999999999997E-2</v>
      </c>
    </row>
    <row r="43" spans="5:23" x14ac:dyDescent="0.25">
      <c r="E43" s="34" t="s">
        <v>156</v>
      </c>
      <c r="F43" s="34" t="s">
        <v>203</v>
      </c>
      <c r="G43" s="34" t="s">
        <v>204</v>
      </c>
      <c r="H43" s="35">
        <v>16.288888888888888</v>
      </c>
      <c r="I43" s="35">
        <v>17.483676493296727</v>
      </c>
      <c r="J43" s="35">
        <v>56.43739132907114</v>
      </c>
      <c r="K43" s="35">
        <v>58.742808917002193</v>
      </c>
      <c r="L43" s="9">
        <v>0.19</v>
      </c>
      <c r="M43" s="9">
        <v>-0.02</v>
      </c>
      <c r="N43" s="9" t="str">
        <v>High</v>
      </c>
      <c r="O43" s="10" t="str">
        <v>Not High</v>
      </c>
      <c r="P43" s="10">
        <v>0</v>
      </c>
      <c r="Q43" s="10">
        <v>0</v>
      </c>
      <c r="R43" s="10">
        <v>0</v>
      </c>
      <c r="S43" s="10">
        <v>-99</v>
      </c>
      <c r="T43" s="10">
        <v>0</v>
      </c>
      <c r="U43" s="10">
        <v>0</v>
      </c>
      <c r="V43" s="11">
        <v>-6.3E-2</v>
      </c>
      <c r="W43" s="11">
        <v>-0.01</v>
      </c>
    </row>
    <row r="44" spans="5:23" x14ac:dyDescent="0.25">
      <c r="E44" s="34" t="s">
        <v>157</v>
      </c>
      <c r="F44" s="34" t="s">
        <v>203</v>
      </c>
      <c r="G44" s="34" t="s">
        <v>204</v>
      </c>
      <c r="H44" s="35">
        <v>15.899999999999999</v>
      </c>
      <c r="I44" s="35">
        <v>18.004046347384165</v>
      </c>
      <c r="J44" s="35">
        <v>56.292773040922974</v>
      </c>
      <c r="K44" s="35">
        <v>65.581799411724589</v>
      </c>
      <c r="L44" s="9">
        <v>0.19</v>
      </c>
      <c r="M44" s="9">
        <v>-0.02</v>
      </c>
      <c r="N44" s="9" t="str">
        <v>High</v>
      </c>
      <c r="O44" s="10" t="str">
        <v>High</v>
      </c>
      <c r="P44" s="10">
        <v>0</v>
      </c>
      <c r="Q44" s="10">
        <v>0</v>
      </c>
      <c r="R44" s="10">
        <v>0</v>
      </c>
      <c r="S44" s="10">
        <v>-99</v>
      </c>
      <c r="T44" s="10">
        <v>0</v>
      </c>
      <c r="U44" s="10">
        <v>0</v>
      </c>
      <c r="V44" s="11">
        <v>-3.7999999999999999E-2</v>
      </c>
      <c r="W44" s="11">
        <v>-0.04</v>
      </c>
    </row>
    <row r="45" spans="5:23" x14ac:dyDescent="0.25">
      <c r="E45" s="34" t="s">
        <v>129</v>
      </c>
      <c r="F45" s="34" t="s">
        <v>203</v>
      </c>
      <c r="G45" s="34" t="s">
        <v>204</v>
      </c>
      <c r="H45" s="35">
        <v>13.977777777777778</v>
      </c>
      <c r="I45" s="35">
        <v>14.610955523702451</v>
      </c>
      <c r="J45" s="35">
        <v>67.385201367864227</v>
      </c>
      <c r="K45" s="35">
        <v>38.208062528415248</v>
      </c>
      <c r="L45" s="9">
        <v>0.03</v>
      </c>
      <c r="M45" s="9">
        <v>-0.22</v>
      </c>
      <c r="N45" s="9" t="str">
        <v>High</v>
      </c>
      <c r="O45" s="10" t="str">
        <v>Not High</v>
      </c>
      <c r="P45" s="10">
        <v>0</v>
      </c>
      <c r="Q45" s="10">
        <v>0</v>
      </c>
      <c r="R45" s="10">
        <v>0</v>
      </c>
      <c r="S45" s="10">
        <v>-99</v>
      </c>
      <c r="T45" s="10">
        <v>0</v>
      </c>
      <c r="U45" s="10">
        <v>0</v>
      </c>
      <c r="V45" s="11">
        <v>8.7999999999999995E-2</v>
      </c>
      <c r="W45" s="11">
        <v>0.156</v>
      </c>
    </row>
    <row r="46" spans="5:23" x14ac:dyDescent="0.25">
      <c r="E46" s="34" t="s">
        <v>130</v>
      </c>
      <c r="F46" s="34" t="s">
        <v>203</v>
      </c>
      <c r="G46" s="34" t="s">
        <v>204</v>
      </c>
      <c r="H46" s="35">
        <v>13.78888888888889</v>
      </c>
      <c r="I46" s="35">
        <v>14.509702862056113</v>
      </c>
      <c r="J46" s="35">
        <v>63.969713352966828</v>
      </c>
      <c r="K46" s="35">
        <v>40.402187743117025</v>
      </c>
      <c r="L46" s="9">
        <v>0.08</v>
      </c>
      <c r="M46" s="9">
        <v>-0.16</v>
      </c>
      <c r="N46" s="9" t="str">
        <v>High</v>
      </c>
      <c r="O46" s="10" t="str">
        <v>Not High</v>
      </c>
      <c r="P46" s="10">
        <v>0</v>
      </c>
      <c r="Q46" s="10">
        <v>0</v>
      </c>
      <c r="R46" s="10">
        <v>0</v>
      </c>
      <c r="S46" s="10">
        <v>-99</v>
      </c>
      <c r="T46" s="10">
        <v>0</v>
      </c>
      <c r="U46" s="10">
        <v>0</v>
      </c>
      <c r="V46" s="11">
        <v>0.1</v>
      </c>
      <c r="W46" s="11">
        <v>0.16200000000000001</v>
      </c>
    </row>
    <row r="47" spans="5:23" x14ac:dyDescent="0.25">
      <c r="E47" s="34" t="s">
        <v>131</v>
      </c>
      <c r="F47" s="34" t="s">
        <v>203</v>
      </c>
      <c r="G47" s="34" t="s">
        <v>204</v>
      </c>
      <c r="H47" s="35">
        <v>14.612500000000001</v>
      </c>
      <c r="I47" s="35">
        <v>15.141129512769744</v>
      </c>
      <c r="J47" s="35">
        <v>64.273446055907357</v>
      </c>
      <c r="K47" s="35">
        <v>40.640813770606144</v>
      </c>
      <c r="L47" s="9">
        <v>7.0000000000000007E-2</v>
      </c>
      <c r="M47" s="9">
        <v>-0.16</v>
      </c>
      <c r="N47" s="9" t="str">
        <v>High</v>
      </c>
      <c r="O47" s="10" t="str">
        <v>Not High</v>
      </c>
      <c r="P47" s="10">
        <v>0</v>
      </c>
      <c r="Q47" s="10">
        <v>0</v>
      </c>
      <c r="R47" s="10">
        <v>0</v>
      </c>
      <c r="S47" s="10">
        <v>-99</v>
      </c>
      <c r="T47" s="10">
        <v>0</v>
      </c>
      <c r="U47" s="10">
        <v>0</v>
      </c>
      <c r="V47" s="11">
        <v>4.5999999999999999E-2</v>
      </c>
      <c r="W47" s="11">
        <v>0.125</v>
      </c>
    </row>
    <row r="48" spans="5:23" x14ac:dyDescent="0.25">
      <c r="E48" s="34" t="s">
        <v>132</v>
      </c>
      <c r="F48" s="34" t="s">
        <v>203</v>
      </c>
      <c r="G48" s="34" t="s">
        <v>204</v>
      </c>
      <c r="H48" s="35">
        <v>13.762500000000001</v>
      </c>
      <c r="I48" s="35">
        <v>14.370314260041839</v>
      </c>
      <c r="J48" s="35">
        <v>66.643861190542296</v>
      </c>
      <c r="K48" s="35">
        <v>40.713383661363864</v>
      </c>
      <c r="L48" s="9">
        <v>0.04</v>
      </c>
      <c r="M48" s="9">
        <v>-0.21</v>
      </c>
      <c r="N48" s="9" t="str">
        <v>High</v>
      </c>
      <c r="O48" s="10" t="str">
        <v>Not High</v>
      </c>
      <c r="P48" s="10">
        <v>0</v>
      </c>
      <c r="Q48" s="10">
        <v>0</v>
      </c>
      <c r="R48" s="10">
        <v>0</v>
      </c>
      <c r="S48" s="10">
        <v>-99</v>
      </c>
      <c r="T48" s="10">
        <v>0</v>
      </c>
      <c r="U48" s="10">
        <v>0</v>
      </c>
      <c r="V48" s="11">
        <v>0.10199999999999999</v>
      </c>
      <c r="W48" s="11">
        <v>0.17</v>
      </c>
    </row>
    <row r="49" spans="5:23" x14ac:dyDescent="0.25">
      <c r="E49" s="34" t="s">
        <v>133</v>
      </c>
      <c r="F49" s="34" t="s">
        <v>203</v>
      </c>
      <c r="G49" s="34" t="s">
        <v>204</v>
      </c>
      <c r="H49" s="35">
        <v>14.344444444444447</v>
      </c>
      <c r="I49" s="35">
        <v>15.021760198201703</v>
      </c>
      <c r="J49" s="35">
        <v>65.933286431264463</v>
      </c>
      <c r="K49" s="35">
        <v>40.388749988507989</v>
      </c>
      <c r="L49" s="9">
        <v>0.05</v>
      </c>
      <c r="M49" s="9">
        <v>-0.19</v>
      </c>
      <c r="N49" s="9" t="str">
        <v>High</v>
      </c>
      <c r="O49" s="10" t="str">
        <v>Not High</v>
      </c>
      <c r="P49" s="10">
        <v>0</v>
      </c>
      <c r="Q49" s="10">
        <v>0</v>
      </c>
      <c r="R49" s="10">
        <v>0</v>
      </c>
      <c r="S49" s="10">
        <v>-99</v>
      </c>
      <c r="T49" s="10">
        <v>0</v>
      </c>
      <c r="U49" s="10">
        <v>0</v>
      </c>
      <c r="V49" s="11">
        <v>6.4000000000000001E-2</v>
      </c>
      <c r="W49" s="11">
        <v>0.13200000000000001</v>
      </c>
    </row>
    <row r="50" spans="5:23" x14ac:dyDescent="0.25">
      <c r="E50" s="34" t="s">
        <v>134</v>
      </c>
      <c r="F50" s="34" t="s">
        <v>203</v>
      </c>
      <c r="G50" s="34" t="s">
        <v>204</v>
      </c>
      <c r="H50" s="35">
        <v>14.277777777777779</v>
      </c>
      <c r="I50" s="35">
        <v>14.739104207934304</v>
      </c>
      <c r="J50" s="35">
        <v>60.892065223784471</v>
      </c>
      <c r="K50" s="35">
        <v>40.833146532894339</v>
      </c>
      <c r="L50" s="9">
        <v>0.12</v>
      </c>
      <c r="M50" s="9">
        <v>-0.1</v>
      </c>
      <c r="N50" s="9" t="str">
        <v>High</v>
      </c>
      <c r="O50" s="10" t="str">
        <v>Not High</v>
      </c>
      <c r="P50" s="10">
        <v>0</v>
      </c>
      <c r="Q50" s="10">
        <v>0</v>
      </c>
      <c r="R50" s="10">
        <v>0</v>
      </c>
      <c r="S50" s="10">
        <v>-99</v>
      </c>
      <c r="T50" s="10">
        <v>0</v>
      </c>
      <c r="U50" s="10">
        <v>0</v>
      </c>
      <c r="V50" s="11">
        <v>6.8000000000000005E-2</v>
      </c>
      <c r="W50" s="11">
        <v>0.14899999999999999</v>
      </c>
    </row>
    <row r="51" spans="5:23" x14ac:dyDescent="0.25">
      <c r="E51" s="34" t="s">
        <v>135</v>
      </c>
      <c r="F51" s="34" t="s">
        <v>203</v>
      </c>
      <c r="G51" s="34" t="s">
        <v>204</v>
      </c>
      <c r="H51" s="35">
        <v>14.012500000000001</v>
      </c>
      <c r="I51" s="35">
        <v>14.411784877349897</v>
      </c>
      <c r="J51" s="35">
        <v>61.151986128267374</v>
      </c>
      <c r="K51" s="35">
        <v>40.730559414431326</v>
      </c>
      <c r="L51" s="9">
        <v>0.12</v>
      </c>
      <c r="M51" s="9">
        <v>-0.11</v>
      </c>
      <c r="N51" s="9" t="str">
        <v>High</v>
      </c>
      <c r="O51" s="10" t="str">
        <v>Not High</v>
      </c>
      <c r="P51" s="10">
        <v>0</v>
      </c>
      <c r="Q51" s="10">
        <v>0</v>
      </c>
      <c r="R51" s="10">
        <v>0</v>
      </c>
      <c r="S51" s="10">
        <v>-99</v>
      </c>
      <c r="T51" s="10">
        <v>0</v>
      </c>
      <c r="U51" s="10">
        <v>0</v>
      </c>
      <c r="V51" s="11">
        <v>8.5999999999999993E-2</v>
      </c>
      <c r="W51" s="11">
        <v>0.16800000000000001</v>
      </c>
    </row>
    <row r="52" spans="5:23" x14ac:dyDescent="0.25">
      <c r="E52" s="34" t="s">
        <v>136</v>
      </c>
      <c r="F52" s="34" t="s">
        <v>203</v>
      </c>
      <c r="G52" s="34" t="s">
        <v>204</v>
      </c>
      <c r="H52" s="35">
        <v>13.937500000000002</v>
      </c>
      <c r="I52" s="35">
        <v>14.866641156565109</v>
      </c>
      <c r="J52" s="35">
        <v>61.995803180670357</v>
      </c>
      <c r="K52" s="35">
        <v>43.184301501457774</v>
      </c>
      <c r="L52" s="9">
        <v>0.11</v>
      </c>
      <c r="M52" s="9">
        <v>-0.12</v>
      </c>
      <c r="N52" s="9" t="str">
        <v>High</v>
      </c>
      <c r="O52" s="10" t="str">
        <v>Not High</v>
      </c>
      <c r="P52" s="10">
        <v>0</v>
      </c>
      <c r="Q52" s="10">
        <v>0</v>
      </c>
      <c r="R52" s="10">
        <v>0</v>
      </c>
      <c r="S52" s="10">
        <v>-99</v>
      </c>
      <c r="T52" s="10">
        <v>0</v>
      </c>
      <c r="U52" s="10">
        <v>0</v>
      </c>
      <c r="V52" s="11">
        <v>9.0999999999999998E-2</v>
      </c>
      <c r="W52" s="11">
        <v>0.14099999999999999</v>
      </c>
    </row>
    <row r="53" spans="5:23" x14ac:dyDescent="0.25">
      <c r="E53" s="34" t="s">
        <v>137</v>
      </c>
      <c r="F53" s="34" t="s">
        <v>203</v>
      </c>
      <c r="G53" s="34" t="s">
        <v>204</v>
      </c>
      <c r="H53" s="35">
        <v>13.933333333333332</v>
      </c>
      <c r="I53" s="35">
        <v>14.414004209433706</v>
      </c>
      <c r="J53" s="35">
        <v>63.482914358802219</v>
      </c>
      <c r="K53" s="35">
        <v>41.971183698110671</v>
      </c>
      <c r="L53" s="9">
        <v>0.09</v>
      </c>
      <c r="M53" s="9">
        <v>-0.15</v>
      </c>
      <c r="N53" s="9" t="str">
        <v>High</v>
      </c>
      <c r="O53" s="10" t="str">
        <v>Not High</v>
      </c>
      <c r="P53" s="10">
        <v>0</v>
      </c>
      <c r="Q53" s="10">
        <v>0</v>
      </c>
      <c r="R53" s="10">
        <v>0</v>
      </c>
      <c r="S53" s="10">
        <v>-99</v>
      </c>
      <c r="T53" s="10">
        <v>0</v>
      </c>
      <c r="U53" s="10">
        <v>0</v>
      </c>
      <c r="V53" s="11">
        <v>9.0999999999999998E-2</v>
      </c>
      <c r="W53" s="11">
        <v>0.16700000000000001</v>
      </c>
    </row>
    <row r="54" spans="5:23" x14ac:dyDescent="0.25">
      <c r="E54" s="34" t="s">
        <v>163</v>
      </c>
      <c r="F54" s="34" t="s">
        <v>205</v>
      </c>
      <c r="G54" s="34" t="s">
        <v>204</v>
      </c>
      <c r="H54" s="35">
        <v>15.237500000000001</v>
      </c>
      <c r="I54" s="35">
        <v>16.668186316725933</v>
      </c>
      <c r="J54" s="35">
        <v>48.50177859545451</v>
      </c>
      <c r="K54" s="35">
        <v>55.050988288695734</v>
      </c>
      <c r="L54" s="9">
        <v>0.3</v>
      </c>
      <c r="M54" s="9">
        <v>0.12</v>
      </c>
      <c r="N54" s="9" t="str">
        <v>Medium</v>
      </c>
      <c r="O54" s="10" t="str">
        <v>Not High</v>
      </c>
      <c r="P54" s="10">
        <v>0.95099999999999996</v>
      </c>
      <c r="Q54" s="10">
        <v>0.43</v>
      </c>
      <c r="R54" s="10">
        <v>0.95099999999999996</v>
      </c>
      <c r="S54" s="10">
        <v>0.95099999999999996</v>
      </c>
      <c r="T54" s="10">
        <v>23</v>
      </c>
      <c r="U54" s="10">
        <v>1</v>
      </c>
      <c r="V54" s="11">
        <v>6.0000000000000001E-3</v>
      </c>
      <c r="W54" s="11">
        <v>3.6999999999999998E-2</v>
      </c>
    </row>
    <row r="55" spans="5:23" x14ac:dyDescent="0.25">
      <c r="E55" s="34" t="s">
        <v>165</v>
      </c>
      <c r="F55" s="34" t="s">
        <v>205</v>
      </c>
      <c r="G55" s="34" t="s">
        <v>204</v>
      </c>
      <c r="H55" s="35">
        <v>14.933333333333334</v>
      </c>
      <c r="I55" s="35">
        <v>16.88705554856319</v>
      </c>
      <c r="J55" s="35">
        <v>45.792544731704567</v>
      </c>
      <c r="K55" s="35">
        <v>60.868037634659316</v>
      </c>
      <c r="L55" s="9">
        <v>0.34</v>
      </c>
      <c r="M55" s="9">
        <v>0.17</v>
      </c>
      <c r="N55" s="9" t="str">
        <v>Medium</v>
      </c>
      <c r="O55" s="10" t="str">
        <v>High</v>
      </c>
      <c r="P55" s="10">
        <v>0</v>
      </c>
      <c r="Q55" s="10">
        <v>0</v>
      </c>
      <c r="R55" s="10">
        <v>0</v>
      </c>
      <c r="S55" s="10">
        <v>-99</v>
      </c>
      <c r="T55" s="10">
        <v>0</v>
      </c>
      <c r="U55" s="10">
        <v>0</v>
      </c>
      <c r="V55" s="11">
        <v>2.5999999999999999E-2</v>
      </c>
      <c r="W55" s="11">
        <v>2.5000000000000001E-2</v>
      </c>
    </row>
    <row r="56" spans="5:23" x14ac:dyDescent="0.25">
      <c r="E56" s="34" t="s">
        <v>158</v>
      </c>
      <c r="F56" s="34" t="s">
        <v>203</v>
      </c>
      <c r="G56" s="34" t="s">
        <v>204</v>
      </c>
      <c r="H56" s="35">
        <v>16.988888888888891</v>
      </c>
      <c r="I56" s="35">
        <v>18.663179726644078</v>
      </c>
      <c r="J56" s="35">
        <v>56.315820947913366</v>
      </c>
      <c r="K56" s="35">
        <v>66.057490829889232</v>
      </c>
      <c r="L56" s="9">
        <v>0.19</v>
      </c>
      <c r="M56" s="9">
        <v>-0.02</v>
      </c>
      <c r="N56" s="9" t="str">
        <v>High</v>
      </c>
      <c r="O56" s="10" t="str">
        <v>High</v>
      </c>
      <c r="P56" s="10">
        <v>0</v>
      </c>
      <c r="Q56" s="10">
        <v>0</v>
      </c>
      <c r="R56" s="10">
        <v>0</v>
      </c>
      <c r="S56" s="10">
        <v>-99</v>
      </c>
      <c r="T56" s="10">
        <v>0</v>
      </c>
      <c r="U56" s="10">
        <v>0</v>
      </c>
      <c r="V56" s="11">
        <v>-0.109</v>
      </c>
      <c r="W56" s="11">
        <v>-7.8E-2</v>
      </c>
    </row>
    <row r="57" spans="5:23" x14ac:dyDescent="0.25">
      <c r="E57" s="34" t="s">
        <v>173</v>
      </c>
      <c r="F57" s="34" t="s">
        <v>205</v>
      </c>
      <c r="G57" s="34" t="s">
        <v>204</v>
      </c>
      <c r="H57" s="35">
        <v>14.922222222222224</v>
      </c>
      <c r="I57" s="35">
        <v>16.224801050734985</v>
      </c>
      <c r="J57" s="35">
        <v>42.102812234100412</v>
      </c>
      <c r="K57" s="35">
        <v>58.723358090916463</v>
      </c>
      <c r="L57" s="9">
        <v>0.39</v>
      </c>
      <c r="M57" s="9">
        <v>0.24</v>
      </c>
      <c r="N57" s="9" t="str">
        <v>Low</v>
      </c>
      <c r="O57" s="10" t="str">
        <v>Not High</v>
      </c>
      <c r="P57" s="10">
        <v>1.7050000000000001</v>
      </c>
      <c r="Q57" s="10">
        <v>0.89100000000000001</v>
      </c>
      <c r="R57" s="10">
        <v>1.7050000000000001</v>
      </c>
      <c r="S57" s="10">
        <v>1.7050000000000001</v>
      </c>
      <c r="T57" s="10">
        <v>5</v>
      </c>
      <c r="U57" s="10">
        <v>1</v>
      </c>
      <c r="V57" s="11">
        <v>2.5999999999999999E-2</v>
      </c>
      <c r="W57" s="11">
        <v>6.3E-2</v>
      </c>
    </row>
    <row r="58" spans="5:23" x14ac:dyDescent="0.25">
      <c r="E58" s="34" t="s">
        <v>169</v>
      </c>
      <c r="F58" s="34" t="s">
        <v>205</v>
      </c>
      <c r="G58" s="34" t="s">
        <v>204</v>
      </c>
      <c r="H58" s="35">
        <v>14.333333333333336</v>
      </c>
      <c r="I58" s="35">
        <v>16.207415498813159</v>
      </c>
      <c r="J58" s="35">
        <v>52.751611017009978</v>
      </c>
      <c r="K58" s="35">
        <v>53.535800298976689</v>
      </c>
      <c r="L58" s="9">
        <v>0.24</v>
      </c>
      <c r="M58" s="9">
        <v>0.05</v>
      </c>
      <c r="N58" s="9" t="str">
        <v>Medium</v>
      </c>
      <c r="O58" s="10" t="str">
        <v>Not High</v>
      </c>
      <c r="P58" s="10">
        <v>0.45</v>
      </c>
      <c r="Q58" s="10">
        <v>0.24</v>
      </c>
      <c r="R58" s="10">
        <v>0.45</v>
      </c>
      <c r="S58" s="10">
        <v>0.45</v>
      </c>
      <c r="T58" s="10">
        <v>43</v>
      </c>
      <c r="U58" s="10">
        <v>1</v>
      </c>
      <c r="V58" s="11">
        <v>6.5000000000000002E-2</v>
      </c>
      <c r="W58" s="11">
        <v>6.4000000000000001E-2</v>
      </c>
    </row>
    <row r="59" spans="5:23" x14ac:dyDescent="0.25">
      <c r="E59" s="34" t="s">
        <v>138</v>
      </c>
      <c r="F59" s="34" t="s">
        <v>206</v>
      </c>
      <c r="G59" s="34" t="s">
        <v>204</v>
      </c>
      <c r="H59" s="35">
        <v>14.822222222222219</v>
      </c>
      <c r="I59" s="35">
        <v>15.868400175938794</v>
      </c>
      <c r="J59" s="35">
        <v>56.510591305453694</v>
      </c>
      <c r="K59" s="35">
        <v>46.001452104327754</v>
      </c>
      <c r="L59" s="9">
        <v>0.19</v>
      </c>
      <c r="M59" s="9">
        <v>-0.02</v>
      </c>
      <c r="N59" s="9" t="str">
        <v>High</v>
      </c>
      <c r="O59" s="10" t="str">
        <v>Not High</v>
      </c>
      <c r="P59" s="10">
        <v>0</v>
      </c>
      <c r="Q59" s="10">
        <v>0</v>
      </c>
      <c r="R59" s="10">
        <v>0</v>
      </c>
      <c r="S59" s="10">
        <v>-99</v>
      </c>
      <c r="T59" s="10">
        <v>0</v>
      </c>
      <c r="U59" s="10">
        <v>0</v>
      </c>
      <c r="V59" s="11">
        <v>3.3000000000000002E-2</v>
      </c>
      <c r="W59" s="11">
        <v>8.3000000000000004E-2</v>
      </c>
    </row>
    <row r="60" spans="5:23" x14ac:dyDescent="0.25">
      <c r="E60" s="34" t="s">
        <v>139</v>
      </c>
      <c r="F60" s="34" t="s">
        <v>203</v>
      </c>
      <c r="G60" s="34" t="s">
        <v>204</v>
      </c>
      <c r="H60" s="35">
        <v>14.211111111111109</v>
      </c>
      <c r="I60" s="35">
        <v>14.641237069836109</v>
      </c>
      <c r="J60" s="35">
        <v>65.31952458156303</v>
      </c>
      <c r="K60" s="35">
        <v>38.710540489225011</v>
      </c>
      <c r="L60" s="9">
        <v>0.06</v>
      </c>
      <c r="M60" s="9">
        <v>-0.18</v>
      </c>
      <c r="N60" s="9" t="str">
        <v>High</v>
      </c>
      <c r="O60" s="10" t="str">
        <v>Not High</v>
      </c>
      <c r="P60" s="10">
        <v>0</v>
      </c>
      <c r="Q60" s="10">
        <v>0</v>
      </c>
      <c r="R60" s="10">
        <v>0</v>
      </c>
      <c r="S60" s="10">
        <v>-99</v>
      </c>
      <c r="T60" s="10">
        <v>0</v>
      </c>
      <c r="U60" s="10">
        <v>0</v>
      </c>
      <c r="V60" s="11">
        <v>7.2999999999999995E-2</v>
      </c>
      <c r="W60" s="11">
        <v>0.154</v>
      </c>
    </row>
    <row r="61" spans="5:23" x14ac:dyDescent="0.25">
      <c r="E61" s="34" t="s">
        <v>176</v>
      </c>
      <c r="F61" s="34" t="s">
        <v>205</v>
      </c>
      <c r="G61" s="34" t="s">
        <v>204</v>
      </c>
      <c r="H61" s="35">
        <v>14.43333333333333</v>
      </c>
      <c r="I61" s="35">
        <v>16.138335052463521</v>
      </c>
      <c r="J61" s="35">
        <v>48.460797005554959</v>
      </c>
      <c r="K61" s="35">
        <v>57.549449119655328</v>
      </c>
      <c r="L61" s="9">
        <v>0.3</v>
      </c>
      <c r="M61" s="9">
        <v>0.12</v>
      </c>
      <c r="N61" s="9" t="str">
        <v>Medium</v>
      </c>
      <c r="O61" s="10" t="str">
        <v>Not High</v>
      </c>
      <c r="P61" s="10">
        <v>0.95499999999999996</v>
      </c>
      <c r="Q61" s="10">
        <v>0.74399999999999999</v>
      </c>
      <c r="R61" s="10">
        <v>0.95499999999999996</v>
      </c>
      <c r="S61" s="10">
        <v>0.95499999999999996</v>
      </c>
      <c r="T61" s="10">
        <v>22</v>
      </c>
      <c r="U61" s="10">
        <v>1</v>
      </c>
      <c r="V61" s="11">
        <v>5.8000000000000003E-2</v>
      </c>
      <c r="W61" s="11">
        <v>6.8000000000000005E-2</v>
      </c>
    </row>
    <row r="62" spans="5:23" x14ac:dyDescent="0.25">
      <c r="E62" s="34" t="s">
        <v>171</v>
      </c>
      <c r="F62" s="34" t="s">
        <v>205</v>
      </c>
      <c r="G62" s="34" t="s">
        <v>204</v>
      </c>
      <c r="H62" s="35">
        <v>14.211111111111114</v>
      </c>
      <c r="I62" s="35">
        <v>16.198085517402212</v>
      </c>
      <c r="J62" s="35">
        <v>50.407021834926041</v>
      </c>
      <c r="K62" s="35">
        <v>53.58993991693368</v>
      </c>
      <c r="L62" s="9">
        <v>0.27</v>
      </c>
      <c r="M62" s="9">
        <v>0.09</v>
      </c>
      <c r="N62" s="9" t="str">
        <v>Medium</v>
      </c>
      <c r="O62" s="10" t="str">
        <v>Not High</v>
      </c>
      <c r="P62" s="10">
        <v>0.72599999999999998</v>
      </c>
      <c r="Q62" s="10">
        <v>0.247</v>
      </c>
      <c r="R62" s="10">
        <v>0.72599999999999998</v>
      </c>
      <c r="S62" s="10">
        <v>0.72599999999999998</v>
      </c>
      <c r="T62" s="10">
        <v>36</v>
      </c>
      <c r="U62" s="10">
        <v>1</v>
      </c>
      <c r="V62" s="11">
        <v>7.2999999999999995E-2</v>
      </c>
      <c r="W62" s="11">
        <v>6.4000000000000001E-2</v>
      </c>
    </row>
    <row r="63" spans="5:23" x14ac:dyDescent="0.25">
      <c r="E63" s="34" t="s">
        <v>159</v>
      </c>
      <c r="F63" s="34" t="s">
        <v>205</v>
      </c>
      <c r="G63" s="34" t="s">
        <v>204</v>
      </c>
      <c r="H63" s="35">
        <v>14.633333333333335</v>
      </c>
      <c r="I63" s="35">
        <v>16.412639894227034</v>
      </c>
      <c r="J63" s="35">
        <v>51.429863797266634</v>
      </c>
      <c r="K63" s="35">
        <v>55.407326280195846</v>
      </c>
      <c r="L63" s="9">
        <v>0.26</v>
      </c>
      <c r="M63" s="9">
        <v>7.0000000000000007E-2</v>
      </c>
      <c r="N63" s="9" t="str">
        <v>Medium</v>
      </c>
      <c r="O63" s="10" t="str">
        <v>Not High</v>
      </c>
      <c r="P63" s="10">
        <v>0.60499999999999998</v>
      </c>
      <c r="Q63" s="10">
        <v>0.47499999999999998</v>
      </c>
      <c r="R63" s="10">
        <v>0.60499999999999998</v>
      </c>
      <c r="S63" s="10">
        <v>0.60499999999999998</v>
      </c>
      <c r="T63" s="10">
        <v>41</v>
      </c>
      <c r="U63" s="10">
        <v>1</v>
      </c>
      <c r="V63" s="11">
        <v>4.4999999999999998E-2</v>
      </c>
      <c r="W63" s="11">
        <v>5.1999999999999998E-2</v>
      </c>
    </row>
    <row r="64" spans="5:23" x14ac:dyDescent="0.25">
      <c r="E64" s="34" t="s">
        <v>174</v>
      </c>
      <c r="F64" s="34" t="s">
        <v>205</v>
      </c>
      <c r="G64" s="34" t="s">
        <v>204</v>
      </c>
      <c r="H64" s="35">
        <v>14.155555555555559</v>
      </c>
      <c r="I64" s="35">
        <v>16.296123442707753</v>
      </c>
      <c r="J64" s="35">
        <v>46.402566738845628</v>
      </c>
      <c r="K64" s="35">
        <v>55.852384365790925</v>
      </c>
      <c r="L64" s="9">
        <v>0.33</v>
      </c>
      <c r="M64" s="9">
        <v>0.16</v>
      </c>
      <c r="N64" s="9" t="str">
        <v>Medium</v>
      </c>
      <c r="O64" s="10" t="str">
        <v>Not High</v>
      </c>
      <c r="P64" s="10">
        <v>1.198</v>
      </c>
      <c r="Q64" s="10">
        <v>0.53100000000000003</v>
      </c>
      <c r="R64" s="10">
        <v>1.198</v>
      </c>
      <c r="S64" s="10">
        <v>1.198</v>
      </c>
      <c r="T64" s="10">
        <v>16</v>
      </c>
      <c r="U64" s="10">
        <v>1</v>
      </c>
      <c r="V64" s="11">
        <v>7.5999999999999998E-2</v>
      </c>
      <c r="W64" s="11">
        <v>5.8999999999999997E-2</v>
      </c>
    </row>
    <row r="65" spans="5:23" x14ac:dyDescent="0.25">
      <c r="E65" s="34" t="s">
        <v>178</v>
      </c>
      <c r="F65" s="34" t="s">
        <v>205</v>
      </c>
      <c r="G65" s="34" t="s">
        <v>204</v>
      </c>
      <c r="H65" s="35">
        <v>14.2</v>
      </c>
      <c r="I65" s="35">
        <v>16.385227905765063</v>
      </c>
      <c r="J65" s="35">
        <v>48.997629072288738</v>
      </c>
      <c r="K65" s="35">
        <v>55.198686289271329</v>
      </c>
      <c r="L65" s="9">
        <v>0.28999999999999998</v>
      </c>
      <c r="M65" s="9">
        <v>0.11</v>
      </c>
      <c r="N65" s="9" t="str">
        <v>Medium</v>
      </c>
      <c r="O65" s="10" t="str">
        <v>Not High</v>
      </c>
      <c r="P65" s="10">
        <v>0.89200000000000002</v>
      </c>
      <c r="Q65" s="10">
        <v>0.44900000000000001</v>
      </c>
      <c r="R65" s="10">
        <v>0.89200000000000002</v>
      </c>
      <c r="S65" s="10">
        <v>0.89200000000000002</v>
      </c>
      <c r="T65" s="10">
        <v>28</v>
      </c>
      <c r="U65" s="10">
        <v>1</v>
      </c>
      <c r="V65" s="11">
        <v>7.2999999999999995E-2</v>
      </c>
      <c r="W65" s="11">
        <v>5.3999999999999999E-2</v>
      </c>
    </row>
    <row r="66" spans="5:23" x14ac:dyDescent="0.25">
      <c r="E66" s="34" t="s">
        <v>179</v>
      </c>
      <c r="F66" s="34" t="s">
        <v>205</v>
      </c>
      <c r="G66" s="34" t="s">
        <v>204</v>
      </c>
      <c r="H66" s="35">
        <v>13.955555555555556</v>
      </c>
      <c r="I66" s="35">
        <v>15.801831952511451</v>
      </c>
      <c r="J66" s="35">
        <v>45.375668666863035</v>
      </c>
      <c r="K66" s="35">
        <v>58.27438132563649</v>
      </c>
      <c r="L66" s="9">
        <v>0.35</v>
      </c>
      <c r="M66" s="9">
        <v>0.18</v>
      </c>
      <c r="N66" s="9" t="str">
        <v>Medium</v>
      </c>
      <c r="O66" s="10" t="str">
        <v>Not High</v>
      </c>
      <c r="P66" s="10">
        <v>1.319</v>
      </c>
      <c r="Q66" s="10">
        <v>0.83499999999999996</v>
      </c>
      <c r="R66" s="10">
        <v>1.319</v>
      </c>
      <c r="S66" s="10">
        <v>1.319</v>
      </c>
      <c r="T66" s="10">
        <v>13</v>
      </c>
      <c r="U66" s="10">
        <v>1</v>
      </c>
      <c r="V66" s="11">
        <v>8.8999999999999996E-2</v>
      </c>
      <c r="W66" s="11">
        <v>8.6999999999999994E-2</v>
      </c>
    </row>
    <row r="67" spans="5:23" x14ac:dyDescent="0.25">
      <c r="E67" s="34" t="s">
        <v>168</v>
      </c>
      <c r="F67" s="34" t="s">
        <v>205</v>
      </c>
      <c r="G67" s="34" t="s">
        <v>204</v>
      </c>
      <c r="H67" s="35">
        <v>14.888888888888889</v>
      </c>
      <c r="I67" s="35">
        <v>16.807208959888968</v>
      </c>
      <c r="J67" s="35">
        <v>47.612555569651533</v>
      </c>
      <c r="K67" s="35">
        <v>63.279313075490663</v>
      </c>
      <c r="L67" s="9">
        <v>0.31</v>
      </c>
      <c r="M67" s="9">
        <v>0.14000000000000001</v>
      </c>
      <c r="N67" s="9" t="str">
        <v>Medium</v>
      </c>
      <c r="O67" s="10" t="str">
        <v>High</v>
      </c>
      <c r="P67" s="10">
        <v>0</v>
      </c>
      <c r="Q67" s="10">
        <v>0</v>
      </c>
      <c r="R67" s="10">
        <v>0</v>
      </c>
      <c r="S67" s="10">
        <v>-99</v>
      </c>
      <c r="T67" s="10">
        <v>0</v>
      </c>
      <c r="U67" s="10">
        <v>0</v>
      </c>
      <c r="V67" s="11">
        <v>2.8000000000000001E-2</v>
      </c>
      <c r="W67" s="11">
        <v>2.9000000000000001E-2</v>
      </c>
    </row>
    <row r="68" spans="5:23" x14ac:dyDescent="0.25">
      <c r="E68" s="34" t="s">
        <v>162</v>
      </c>
      <c r="F68" s="34" t="s">
        <v>205</v>
      </c>
      <c r="G68" s="34" t="s">
        <v>204</v>
      </c>
      <c r="H68" s="35">
        <v>14.822222222222223</v>
      </c>
      <c r="I68" s="35">
        <v>16.588575544219353</v>
      </c>
      <c r="J68" s="35">
        <v>45.62389358653418</v>
      </c>
      <c r="K68" s="35">
        <v>58.499809914079002</v>
      </c>
      <c r="L68" s="9">
        <v>0.34</v>
      </c>
      <c r="M68" s="9">
        <v>0.17</v>
      </c>
      <c r="N68" s="9" t="str">
        <v>Medium</v>
      </c>
      <c r="O68" s="10" t="str">
        <v>Not High</v>
      </c>
      <c r="P68" s="10">
        <v>1.29</v>
      </c>
      <c r="Q68" s="10">
        <v>0.86299999999999999</v>
      </c>
      <c r="R68" s="10">
        <v>1.29</v>
      </c>
      <c r="S68" s="10">
        <v>1.29</v>
      </c>
      <c r="T68" s="10">
        <v>14</v>
      </c>
      <c r="U68" s="10">
        <v>1</v>
      </c>
      <c r="V68" s="11">
        <v>3.3000000000000002E-2</v>
      </c>
      <c r="W68" s="11">
        <v>4.2000000000000003E-2</v>
      </c>
    </row>
    <row r="69" spans="5:23" x14ac:dyDescent="0.25">
      <c r="E69" s="34" t="s">
        <v>164</v>
      </c>
      <c r="F69" s="34" t="s">
        <v>205</v>
      </c>
      <c r="G69" s="34" t="s">
        <v>204</v>
      </c>
      <c r="H69" s="35">
        <v>14.366666666666667</v>
      </c>
      <c r="I69" s="35">
        <v>16.495289644561876</v>
      </c>
      <c r="J69" s="35">
        <v>46.894385347275644</v>
      </c>
      <c r="K69" s="35">
        <v>57.446874399290124</v>
      </c>
      <c r="L69" s="9">
        <v>0.32</v>
      </c>
      <c r="M69" s="9">
        <v>0.15</v>
      </c>
      <c r="N69" s="9" t="str">
        <v>Medium</v>
      </c>
      <c r="O69" s="10" t="str">
        <v>Not High</v>
      </c>
      <c r="P69" s="10">
        <v>1.1399999999999999</v>
      </c>
      <c r="Q69" s="10">
        <v>0.73099999999999998</v>
      </c>
      <c r="R69" s="10">
        <v>1.1399999999999999</v>
      </c>
      <c r="S69" s="10">
        <v>1.1399999999999999</v>
      </c>
      <c r="T69" s="10">
        <v>19</v>
      </c>
      <c r="U69" s="10">
        <v>1</v>
      </c>
      <c r="V69" s="11">
        <v>6.3E-2</v>
      </c>
      <c r="W69" s="11">
        <v>4.7E-2</v>
      </c>
    </row>
    <row r="70" spans="5:23" x14ac:dyDescent="0.25">
      <c r="E70" s="34" t="s">
        <v>140</v>
      </c>
      <c r="F70" s="34" t="s">
        <v>206</v>
      </c>
      <c r="G70" s="34" t="s">
        <v>204</v>
      </c>
      <c r="H70" s="35">
        <v>14.727777777777776</v>
      </c>
      <c r="I70" s="35">
        <v>16.370431485141779</v>
      </c>
      <c r="J70" s="35">
        <v>51.017065780869324</v>
      </c>
      <c r="K70" s="35">
        <v>53.266312059531224</v>
      </c>
      <c r="L70" s="9">
        <v>0.27</v>
      </c>
      <c r="M70" s="9">
        <v>0.08</v>
      </c>
      <c r="N70" s="9" t="str">
        <v>Medium</v>
      </c>
      <c r="O70" s="10" t="str">
        <v>Not High</v>
      </c>
      <c r="P70" s="10">
        <v>0.65400000000000003</v>
      </c>
      <c r="Q70" s="10">
        <v>0.20599999999999999</v>
      </c>
      <c r="R70" s="10">
        <v>0.65400000000000003</v>
      </c>
      <c r="S70" s="10">
        <v>0.65400000000000003</v>
      </c>
      <c r="T70" s="10">
        <v>37</v>
      </c>
      <c r="U70" s="10">
        <v>1</v>
      </c>
      <c r="V70" s="11">
        <v>3.9E-2</v>
      </c>
      <c r="W70" s="11">
        <v>5.3999999999999999E-2</v>
      </c>
    </row>
    <row r="71" spans="5:23" x14ac:dyDescent="0.25">
      <c r="E71" s="34" t="s">
        <v>141</v>
      </c>
      <c r="F71" s="34" t="s">
        <v>206</v>
      </c>
      <c r="G71" s="34" t="s">
        <v>204</v>
      </c>
      <c r="H71" s="35">
        <v>14.133333333333333</v>
      </c>
      <c r="I71" s="35">
        <v>15.82513901777766</v>
      </c>
      <c r="J71" s="35">
        <v>57.119271151126696</v>
      </c>
      <c r="K71" s="35">
        <v>48.857814963069615</v>
      </c>
      <c r="L71" s="9">
        <v>0.18</v>
      </c>
      <c r="M71" s="9">
        <v>-0.03</v>
      </c>
      <c r="N71" s="9" t="str">
        <v>High</v>
      </c>
      <c r="O71" s="10" t="str">
        <v>Not High</v>
      </c>
      <c r="P71" s="10">
        <v>0</v>
      </c>
      <c r="Q71" s="10">
        <v>0</v>
      </c>
      <c r="R71" s="10">
        <v>0</v>
      </c>
      <c r="S71" s="10">
        <v>-99</v>
      </c>
      <c r="T71" s="10">
        <v>0</v>
      </c>
      <c r="U71" s="10">
        <v>0</v>
      </c>
      <c r="V71" s="11">
        <v>7.8E-2</v>
      </c>
      <c r="W71" s="11">
        <v>8.5999999999999993E-2</v>
      </c>
    </row>
    <row r="72" spans="5:23" x14ac:dyDescent="0.25">
      <c r="E72" s="34" t="s">
        <v>180</v>
      </c>
      <c r="F72" s="34" t="s">
        <v>205</v>
      </c>
      <c r="G72" s="34" t="s">
        <v>204</v>
      </c>
      <c r="H72" s="35">
        <v>13.733333333333334</v>
      </c>
      <c r="I72" s="35">
        <v>15.553512408524732</v>
      </c>
      <c r="J72" s="35">
        <v>48.602844332975579</v>
      </c>
      <c r="K72" s="35">
        <v>49.659353196083323</v>
      </c>
      <c r="L72" s="9">
        <v>0.3</v>
      </c>
      <c r="M72" s="9">
        <v>0.12</v>
      </c>
      <c r="N72" s="9" t="str">
        <v>Medium</v>
      </c>
      <c r="O72" s="10" t="str">
        <v>Not High</v>
      </c>
      <c r="P72" s="10">
        <v>0.93899999999999995</v>
      </c>
      <c r="Q72" s="10">
        <v>-0.247</v>
      </c>
      <c r="R72" s="10">
        <v>0.93899999999999995</v>
      </c>
      <c r="S72" s="10">
        <v>0.93899999999999995</v>
      </c>
      <c r="T72" s="10">
        <v>26</v>
      </c>
      <c r="U72" s="10">
        <v>1</v>
      </c>
      <c r="V72" s="11">
        <v>0.104</v>
      </c>
      <c r="W72" s="11">
        <v>0.10199999999999999</v>
      </c>
    </row>
    <row r="73" spans="5:23" x14ac:dyDescent="0.25">
      <c r="E73" s="34" t="s">
        <v>142</v>
      </c>
      <c r="F73" s="34" t="s">
        <v>206</v>
      </c>
      <c r="G73" s="34" t="s">
        <v>204</v>
      </c>
      <c r="H73" s="35">
        <v>14.322222222222221</v>
      </c>
      <c r="I73" s="35">
        <v>15.846239263673965</v>
      </c>
      <c r="J73" s="35">
        <v>50.392071217987308</v>
      </c>
      <c r="K73" s="35">
        <v>52.960488567336157</v>
      </c>
      <c r="L73" s="9">
        <v>0.27</v>
      </c>
      <c r="M73" s="9">
        <v>0.09</v>
      </c>
      <c r="N73" s="9" t="str">
        <v>Medium</v>
      </c>
      <c r="O73" s="10" t="str">
        <v>Not High</v>
      </c>
      <c r="P73" s="10">
        <v>0.72799999999999998</v>
      </c>
      <c r="Q73" s="10">
        <v>0.16800000000000001</v>
      </c>
      <c r="R73" s="10">
        <v>0.72799999999999998</v>
      </c>
      <c r="S73" s="10">
        <v>0.72799999999999998</v>
      </c>
      <c r="T73" s="10">
        <v>35</v>
      </c>
      <c r="U73" s="10">
        <v>1</v>
      </c>
      <c r="V73" s="11">
        <v>6.5000000000000002E-2</v>
      </c>
      <c r="W73" s="11">
        <v>8.5000000000000006E-2</v>
      </c>
    </row>
    <row r="74" spans="5:23" x14ac:dyDescent="0.25">
      <c r="E74" s="34" t="s">
        <v>177</v>
      </c>
      <c r="F74" s="34" t="s">
        <v>205</v>
      </c>
      <c r="G74" s="34" t="s">
        <v>204</v>
      </c>
      <c r="H74" s="35">
        <v>14.244444444444444</v>
      </c>
      <c r="I74" s="35">
        <v>15.966317998577779</v>
      </c>
      <c r="J74" s="35">
        <v>47.898131214135468</v>
      </c>
      <c r="K74" s="35">
        <v>49.600661423010791</v>
      </c>
      <c r="L74" s="9">
        <v>0.31</v>
      </c>
      <c r="M74" s="9">
        <v>0.13</v>
      </c>
      <c r="N74" s="9" t="str">
        <v>Medium</v>
      </c>
      <c r="O74" s="10" t="str">
        <v>Not High</v>
      </c>
      <c r="P74" s="10">
        <v>1.022</v>
      </c>
      <c r="Q74" s="10">
        <v>-0.254</v>
      </c>
      <c r="R74" s="10">
        <v>1.022</v>
      </c>
      <c r="S74" s="10">
        <v>1.022</v>
      </c>
      <c r="T74" s="10">
        <v>21</v>
      </c>
      <c r="U74" s="10">
        <v>1</v>
      </c>
      <c r="V74" s="11">
        <v>7.0999999999999994E-2</v>
      </c>
      <c r="W74" s="11">
        <v>7.8E-2</v>
      </c>
    </row>
    <row r="75" spans="5:23" x14ac:dyDescent="0.25">
      <c r="E75" s="34" t="s">
        <v>143</v>
      </c>
      <c r="F75" s="34" t="s">
        <v>206</v>
      </c>
      <c r="G75" s="34" t="s">
        <v>204</v>
      </c>
      <c r="H75" s="35">
        <v>14.066666666666666</v>
      </c>
      <c r="I75" s="35">
        <v>15.757792975545689</v>
      </c>
      <c r="J75" s="35">
        <v>51.19669109576121</v>
      </c>
      <c r="K75" s="35">
        <v>51.953082114586309</v>
      </c>
      <c r="L75" s="9">
        <v>0.26</v>
      </c>
      <c r="M75" s="9">
        <v>7.0000000000000007E-2</v>
      </c>
      <c r="N75" s="9" t="str">
        <v>Medium</v>
      </c>
      <c r="O75" s="10" t="str">
        <v>Not High</v>
      </c>
      <c r="P75" s="10">
        <v>0.63300000000000001</v>
      </c>
      <c r="Q75" s="10">
        <v>4.1000000000000002E-2</v>
      </c>
      <c r="R75" s="10">
        <v>0.63300000000000001</v>
      </c>
      <c r="S75" s="10">
        <v>0.63300000000000001</v>
      </c>
      <c r="T75" s="10">
        <v>38</v>
      </c>
      <c r="U75" s="10">
        <v>1</v>
      </c>
      <c r="V75" s="11">
        <v>8.2000000000000003E-2</v>
      </c>
      <c r="W75" s="11">
        <v>0.09</v>
      </c>
    </row>
    <row r="76" spans="5:23" x14ac:dyDescent="0.25">
      <c r="E76" s="34" t="s">
        <v>144</v>
      </c>
      <c r="F76" s="34" t="s">
        <v>206</v>
      </c>
      <c r="G76" s="34" t="s">
        <v>204</v>
      </c>
      <c r="H76" s="35">
        <v>17.144444444444446</v>
      </c>
      <c r="I76" s="35">
        <v>18.906560630762655</v>
      </c>
      <c r="J76" s="35">
        <v>59.30591701402065</v>
      </c>
      <c r="K76" s="35">
        <v>57.480249337123531</v>
      </c>
      <c r="L76" s="9">
        <v>0.15</v>
      </c>
      <c r="M76" s="9">
        <v>-7.0000000000000007E-2</v>
      </c>
      <c r="N76" s="9" t="str">
        <v>High</v>
      </c>
      <c r="O76" s="10" t="str">
        <v>Not High</v>
      </c>
      <c r="P76" s="10">
        <v>0</v>
      </c>
      <c r="Q76" s="10">
        <v>0</v>
      </c>
      <c r="R76" s="10">
        <v>0</v>
      </c>
      <c r="S76" s="10">
        <v>-99</v>
      </c>
      <c r="T76" s="10">
        <v>0</v>
      </c>
      <c r="U76" s="10">
        <v>0</v>
      </c>
      <c r="V76" s="11">
        <v>-0.11899999999999999</v>
      </c>
      <c r="W76" s="11">
        <v>-9.1999999999999998E-2</v>
      </c>
    </row>
    <row r="77" spans="5:23" x14ac:dyDescent="0.25">
      <c r="E77" s="34" t="s">
        <v>145</v>
      </c>
      <c r="F77" s="34" t="s">
        <v>206</v>
      </c>
      <c r="G77" s="34" t="s">
        <v>204</v>
      </c>
      <c r="H77" s="35">
        <v>16.912500000000001</v>
      </c>
      <c r="I77" s="35">
        <v>19.141393223775118</v>
      </c>
      <c r="J77" s="35">
        <v>61.233244875206204</v>
      </c>
      <c r="K77" s="35">
        <v>59.885922912744455</v>
      </c>
      <c r="L77" s="9">
        <v>0.12</v>
      </c>
      <c r="M77" s="9">
        <v>-0.11</v>
      </c>
      <c r="N77" s="9" t="str">
        <v>High</v>
      </c>
      <c r="O77" s="10" t="str">
        <v>Not High</v>
      </c>
      <c r="P77" s="10">
        <v>0</v>
      </c>
      <c r="Q77" s="10">
        <v>0</v>
      </c>
      <c r="R77" s="10">
        <v>0</v>
      </c>
      <c r="S77" s="10">
        <v>-99</v>
      </c>
      <c r="T77" s="10">
        <v>0</v>
      </c>
      <c r="U77" s="10">
        <v>0</v>
      </c>
      <c r="V77" s="11">
        <v>-0.104</v>
      </c>
      <c r="W77" s="11">
        <v>-0.106</v>
      </c>
    </row>
    <row r="78" spans="5:23" x14ac:dyDescent="0.25">
      <c r="E78" s="34" t="s">
        <v>146</v>
      </c>
      <c r="F78" s="34" t="s">
        <v>206</v>
      </c>
      <c r="G78" s="34" t="s">
        <v>204</v>
      </c>
      <c r="H78" s="35">
        <v>16.957142857142856</v>
      </c>
      <c r="I78" s="35">
        <v>19.047317660704834</v>
      </c>
      <c r="J78" s="35">
        <v>57.856634533136834</v>
      </c>
      <c r="K78" s="35">
        <v>56.446819676406221</v>
      </c>
      <c r="L78" s="9">
        <v>0.17</v>
      </c>
      <c r="M78" s="9">
        <v>-0.05</v>
      </c>
      <c r="N78" s="9" t="str">
        <v>High</v>
      </c>
      <c r="O78" s="10" t="str">
        <v>Not High</v>
      </c>
      <c r="P78" s="10">
        <v>0</v>
      </c>
      <c r="Q78" s="10">
        <v>0</v>
      </c>
      <c r="R78" s="10">
        <v>0</v>
      </c>
      <c r="S78" s="10">
        <v>-99</v>
      </c>
      <c r="T78" s="10">
        <v>0</v>
      </c>
      <c r="U78" s="10">
        <v>0</v>
      </c>
      <c r="V78" s="11">
        <v>-0.107</v>
      </c>
      <c r="W78" s="11">
        <v>-0.1</v>
      </c>
    </row>
    <row r="79" spans="5:23" x14ac:dyDescent="0.25">
      <c r="E79" s="34" t="s">
        <v>160</v>
      </c>
      <c r="F79" s="34" t="s">
        <v>205</v>
      </c>
      <c r="G79" s="34" t="s">
        <v>204</v>
      </c>
      <c r="H79" s="35">
        <v>14.622222222222222</v>
      </c>
      <c r="I79" s="35">
        <v>16.613556388768757</v>
      </c>
      <c r="J79" s="35">
        <v>45.107494521075601</v>
      </c>
      <c r="K79" s="35">
        <v>57.354240096986899</v>
      </c>
      <c r="L79" s="9">
        <v>0.35</v>
      </c>
      <c r="M79" s="9">
        <v>0.18</v>
      </c>
      <c r="N79" s="9" t="str">
        <v>Low</v>
      </c>
      <c r="O79" s="10" t="str">
        <v>Not High</v>
      </c>
      <c r="P79" s="10">
        <v>1.351</v>
      </c>
      <c r="Q79" s="10">
        <v>0.71899999999999997</v>
      </c>
      <c r="R79" s="10">
        <v>1.351</v>
      </c>
      <c r="S79" s="10">
        <v>1.351</v>
      </c>
      <c r="T79" s="10">
        <v>11</v>
      </c>
      <c r="U79" s="10">
        <v>1</v>
      </c>
      <c r="V79" s="11">
        <v>4.5999999999999999E-2</v>
      </c>
      <c r="W79" s="11">
        <v>0.04</v>
      </c>
    </row>
    <row r="80" spans="5:23" x14ac:dyDescent="0.25">
      <c r="E80" s="34" t="s">
        <v>161</v>
      </c>
      <c r="F80" s="34" t="s">
        <v>205</v>
      </c>
      <c r="G80" s="34" t="s">
        <v>204</v>
      </c>
      <c r="H80" s="35">
        <v>14.844444444444443</v>
      </c>
      <c r="I80" s="35">
        <v>16.260004180476855</v>
      </c>
      <c r="J80" s="35">
        <v>45.288960681154109</v>
      </c>
      <c r="K80" s="35">
        <v>57.135599197617111</v>
      </c>
      <c r="L80" s="9">
        <v>0.35</v>
      </c>
      <c r="M80" s="9">
        <v>0.18</v>
      </c>
      <c r="N80" s="9" t="str">
        <v>Medium</v>
      </c>
      <c r="O80" s="10" t="str">
        <v>Not High</v>
      </c>
      <c r="P80" s="10">
        <v>1.329</v>
      </c>
      <c r="Q80" s="10">
        <v>0.69199999999999995</v>
      </c>
      <c r="R80" s="10">
        <v>1.329</v>
      </c>
      <c r="S80" s="10">
        <v>1.329</v>
      </c>
      <c r="T80" s="10">
        <v>12</v>
      </c>
      <c r="U80" s="10">
        <v>1</v>
      </c>
      <c r="V80" s="11">
        <v>3.1E-2</v>
      </c>
      <c r="W80" s="11">
        <v>6.0999999999999999E-2</v>
      </c>
    </row>
    <row r="81" spans="5:23" x14ac:dyDescent="0.25">
      <c r="E81" s="34" t="s">
        <v>147</v>
      </c>
      <c r="F81" s="34" t="s">
        <v>206</v>
      </c>
      <c r="G81" s="34" t="s">
        <v>204</v>
      </c>
      <c r="H81" s="35">
        <v>16.5</v>
      </c>
      <c r="I81" s="35">
        <v>18.781817119715448</v>
      </c>
      <c r="J81" s="35">
        <v>60.686990759025448</v>
      </c>
      <c r="K81" s="35">
        <v>52.96703224361891</v>
      </c>
      <c r="L81" s="9">
        <v>0.13</v>
      </c>
      <c r="M81" s="9">
        <v>-0.1</v>
      </c>
      <c r="N81" s="9" t="str">
        <v>High</v>
      </c>
      <c r="O81" s="10" t="str">
        <v>Not High</v>
      </c>
      <c r="P81" s="10">
        <v>0</v>
      </c>
      <c r="Q81" s="10">
        <v>0</v>
      </c>
      <c r="R81" s="10">
        <v>0</v>
      </c>
      <c r="S81" s="10">
        <v>-99</v>
      </c>
      <c r="T81" s="10">
        <v>0</v>
      </c>
      <c r="U81" s="10">
        <v>0</v>
      </c>
      <c r="V81" s="11">
        <v>-7.6999999999999999E-2</v>
      </c>
      <c r="W81" s="11">
        <v>-8.5000000000000006E-2</v>
      </c>
    </row>
    <row r="82" spans="5:23" x14ac:dyDescent="0.25">
      <c r="E82" s="34" t="s">
        <v>167</v>
      </c>
      <c r="F82" s="34" t="s">
        <v>205</v>
      </c>
      <c r="G82" s="34" t="s">
        <v>204</v>
      </c>
      <c r="H82" s="35">
        <v>14.588888888888887</v>
      </c>
      <c r="I82" s="35">
        <v>16.215805310962754</v>
      </c>
      <c r="J82" s="35">
        <v>53.764964588382085</v>
      </c>
      <c r="K82" s="35">
        <v>53.455982463530759</v>
      </c>
      <c r="L82" s="9">
        <v>0.23</v>
      </c>
      <c r="M82" s="9">
        <v>0.03</v>
      </c>
      <c r="N82" s="9" t="str">
        <v>Medium</v>
      </c>
      <c r="O82" s="10" t="str">
        <v>Not High</v>
      </c>
      <c r="P82" s="10">
        <v>0.33</v>
      </c>
      <c r="Q82" s="10">
        <v>0.23</v>
      </c>
      <c r="R82" s="10">
        <v>0.33</v>
      </c>
      <c r="S82" s="10">
        <v>0.33</v>
      </c>
      <c r="T82" s="10">
        <v>46</v>
      </c>
      <c r="U82" s="10">
        <v>1</v>
      </c>
      <c r="V82" s="11">
        <v>4.8000000000000001E-2</v>
      </c>
      <c r="W82" s="11">
        <v>6.3E-2</v>
      </c>
    </row>
    <row r="83" spans="5:23" x14ac:dyDescent="0.25">
      <c r="E83" s="34" t="s">
        <v>172</v>
      </c>
      <c r="F83" s="34" t="s">
        <v>205</v>
      </c>
      <c r="G83" s="34" t="s">
        <v>204</v>
      </c>
      <c r="H83" s="35">
        <v>14.555555555555555</v>
      </c>
      <c r="I83" s="35">
        <v>16.391865475816374</v>
      </c>
      <c r="J83" s="35">
        <v>42.71958994068693</v>
      </c>
      <c r="K83" s="35">
        <v>59.763936445944445</v>
      </c>
      <c r="L83" s="9">
        <v>0.38</v>
      </c>
      <c r="M83" s="9">
        <v>0.23</v>
      </c>
      <c r="N83" s="9" t="str">
        <v>Low</v>
      </c>
      <c r="O83" s="10" t="str">
        <v>Not High</v>
      </c>
      <c r="P83" s="10">
        <v>1.6319999999999999</v>
      </c>
      <c r="Q83" s="10">
        <v>1.022</v>
      </c>
      <c r="R83" s="10">
        <v>1.6319999999999999</v>
      </c>
      <c r="S83" s="10">
        <v>1.6319999999999999</v>
      </c>
      <c r="T83" s="10">
        <v>7</v>
      </c>
      <c r="U83" s="10">
        <v>1</v>
      </c>
      <c r="V83" s="11">
        <v>0.05</v>
      </c>
      <c r="W83" s="11">
        <v>5.2999999999999999E-2</v>
      </c>
    </row>
    <row r="84" spans="5:23" x14ac:dyDescent="0.25">
      <c r="E84" s="34" t="s">
        <v>166</v>
      </c>
      <c r="F84" s="34" t="s">
        <v>205</v>
      </c>
      <c r="G84" s="34" t="s">
        <v>204</v>
      </c>
      <c r="H84" s="35">
        <v>15.077777777777776</v>
      </c>
      <c r="I84" s="35">
        <v>16.839563250265584</v>
      </c>
      <c r="J84" s="35">
        <v>45.885491242721585</v>
      </c>
      <c r="K84" s="35">
        <v>57.015500250698423</v>
      </c>
      <c r="L84" s="9">
        <v>0.34</v>
      </c>
      <c r="M84" s="9">
        <v>0.17</v>
      </c>
      <c r="N84" s="9" t="str">
        <v>Medium</v>
      </c>
      <c r="O84" s="10" t="str">
        <v>Not High</v>
      </c>
      <c r="P84" s="10">
        <v>1.2589999999999999</v>
      </c>
      <c r="Q84" s="10">
        <v>0.67700000000000005</v>
      </c>
      <c r="R84" s="10">
        <v>1.2589999999999999</v>
      </c>
      <c r="S84" s="10">
        <v>1.2589999999999999</v>
      </c>
      <c r="T84" s="10">
        <v>15</v>
      </c>
      <c r="U84" s="10">
        <v>1</v>
      </c>
      <c r="V84" s="11">
        <v>1.6E-2</v>
      </c>
      <c r="W84" s="11">
        <v>2.7E-2</v>
      </c>
    </row>
    <row r="85" spans="5:23" x14ac:dyDescent="0.25">
      <c r="E85" s="34" t="s">
        <v>175</v>
      </c>
      <c r="F85" s="34" t="s">
        <v>205</v>
      </c>
      <c r="G85" s="34" t="s">
        <v>204</v>
      </c>
      <c r="H85" s="35">
        <v>14.166666666666668</v>
      </c>
      <c r="I85" s="35">
        <v>15.989694727631306</v>
      </c>
      <c r="J85" s="35">
        <v>46.812364795126257</v>
      </c>
      <c r="K85" s="35">
        <v>52.786343625214649</v>
      </c>
      <c r="L85" s="9">
        <v>0.33</v>
      </c>
      <c r="M85" s="9">
        <v>0.15</v>
      </c>
      <c r="N85" s="9" t="str">
        <v>Medium</v>
      </c>
      <c r="O85" s="10" t="str">
        <v>Not High</v>
      </c>
      <c r="P85" s="10">
        <v>1.1499999999999999</v>
      </c>
      <c r="Q85" s="10">
        <v>0.14599999999999999</v>
      </c>
      <c r="R85" s="10">
        <v>1.1499999999999999</v>
      </c>
      <c r="S85" s="10">
        <v>1.1499999999999999</v>
      </c>
      <c r="T85" s="10">
        <v>18</v>
      </c>
      <c r="U85" s="10">
        <v>1</v>
      </c>
      <c r="V85" s="11">
        <v>7.5999999999999998E-2</v>
      </c>
      <c r="W85" s="11">
        <v>7.5999999999999998E-2</v>
      </c>
    </row>
    <row r="86" spans="5:23" x14ac:dyDescent="0.25">
      <c r="E86" s="34" t="s">
        <v>148</v>
      </c>
      <c r="F86" s="34" t="s">
        <v>206</v>
      </c>
      <c r="G86" s="34" t="s">
        <v>204</v>
      </c>
      <c r="H86" s="35">
        <v>17.233333333333334</v>
      </c>
      <c r="I86" s="35">
        <v>19.240630215353463</v>
      </c>
      <c r="J86" s="35">
        <v>60.022231468217313</v>
      </c>
      <c r="K86" s="35">
        <v>57.357908654521339</v>
      </c>
      <c r="L86" s="9">
        <v>0.14000000000000001</v>
      </c>
      <c r="M86" s="9">
        <v>-0.09</v>
      </c>
      <c r="N86" s="9" t="str">
        <v>High</v>
      </c>
      <c r="O86" s="10" t="str">
        <v>Not High</v>
      </c>
      <c r="P86" s="10">
        <v>0</v>
      </c>
      <c r="Q86" s="10">
        <v>0</v>
      </c>
      <c r="R86" s="10">
        <v>0</v>
      </c>
      <c r="S86" s="10">
        <v>-99</v>
      </c>
      <c r="T86" s="10">
        <v>0</v>
      </c>
      <c r="U86" s="10">
        <v>0</v>
      </c>
      <c r="V86" s="11">
        <v>-0.125</v>
      </c>
      <c r="W86" s="11">
        <v>-0.111</v>
      </c>
    </row>
    <row r="87" spans="5:23" x14ac:dyDescent="0.25">
      <c r="E87" s="34" t="s">
        <v>170</v>
      </c>
      <c r="F87" s="34" t="s">
        <v>205</v>
      </c>
      <c r="G87" s="34" t="s">
        <v>204</v>
      </c>
      <c r="H87" s="35">
        <v>14.128888888888888</v>
      </c>
      <c r="I87" s="35">
        <v>15.906072998461847</v>
      </c>
      <c r="J87" s="35">
        <v>49.708729527577731</v>
      </c>
      <c r="K87" s="35">
        <v>51.790014726148485</v>
      </c>
      <c r="L87" s="9">
        <v>0.28000000000000003</v>
      </c>
      <c r="M87" s="9">
        <v>0.1</v>
      </c>
      <c r="N87" s="9" t="str">
        <v>Medium</v>
      </c>
      <c r="O87" s="10" t="str">
        <v>Not High</v>
      </c>
      <c r="P87" s="10">
        <v>0.80800000000000005</v>
      </c>
      <c r="Q87" s="10">
        <v>2.1000000000000001E-2</v>
      </c>
      <c r="R87" s="10">
        <v>0.80800000000000005</v>
      </c>
      <c r="S87" s="10">
        <v>0.80800000000000005</v>
      </c>
      <c r="T87" s="10">
        <v>30</v>
      </c>
      <c r="U87" s="10">
        <v>1</v>
      </c>
      <c r="V87" s="11">
        <v>7.8E-2</v>
      </c>
      <c r="W87" s="11">
        <v>8.1000000000000003E-2</v>
      </c>
    </row>
    <row r="88" spans="5:23" x14ac:dyDescent="0.25">
      <c r="E88" s="34" t="s">
        <v>85</v>
      </c>
      <c r="F88" s="34" t="s">
        <v>86</v>
      </c>
      <c r="G88" s="34" t="s">
        <v>194</v>
      </c>
      <c r="H88" s="35">
        <v>15.9</v>
      </c>
      <c r="I88" s="35">
        <v>18.791921539854751</v>
      </c>
      <c r="J88" s="35">
        <v>67.340935226953746</v>
      </c>
      <c r="K88" s="35">
        <v>54.583603684898996</v>
      </c>
      <c r="L88" s="9">
        <v>0.03</v>
      </c>
      <c r="M88" s="9">
        <v>-0.22</v>
      </c>
      <c r="N88" s="9" t="str">
        <v>High</v>
      </c>
      <c r="O88" s="10" t="str">
        <v>Not High</v>
      </c>
      <c r="P88" s="10">
        <v>0</v>
      </c>
      <c r="Q88" s="10">
        <v>0</v>
      </c>
      <c r="R88" s="10">
        <v>0</v>
      </c>
      <c r="S88" s="10">
        <v>-99</v>
      </c>
      <c r="T88" s="10">
        <v>0</v>
      </c>
      <c r="U88" s="10">
        <v>0</v>
      </c>
      <c r="V88" s="11">
        <v>-3.7999999999999999E-2</v>
      </c>
      <c r="W88" s="11">
        <v>-8.5000000000000006E-2</v>
      </c>
    </row>
    <row r="89" spans="5:23" x14ac:dyDescent="0.25">
      <c r="E89" s="34" t="s">
        <v>87</v>
      </c>
      <c r="F89" s="34" t="s">
        <v>86</v>
      </c>
      <c r="G89" s="34" t="s">
        <v>194</v>
      </c>
      <c r="H89" s="35">
        <v>15.166666666666666</v>
      </c>
      <c r="I89" s="35">
        <v>18.023871963342586</v>
      </c>
      <c r="J89" s="35">
        <v>59.248655792323596</v>
      </c>
      <c r="K89" s="35">
        <v>52.107380507253197</v>
      </c>
      <c r="L89" s="9">
        <v>0.15</v>
      </c>
      <c r="M89" s="9">
        <v>-7.0000000000000007E-2</v>
      </c>
      <c r="N89" s="9" t="str">
        <v>High</v>
      </c>
      <c r="O89" s="10" t="str">
        <v>Not High</v>
      </c>
      <c r="P89" s="10">
        <v>0</v>
      </c>
      <c r="Q89" s="10">
        <v>0</v>
      </c>
      <c r="R89" s="10">
        <v>0</v>
      </c>
      <c r="S89" s="10">
        <v>-99</v>
      </c>
      <c r="T89" s="10">
        <v>0</v>
      </c>
      <c r="U89" s="10">
        <v>0</v>
      </c>
      <c r="V89" s="11">
        <v>0.01</v>
      </c>
      <c r="W89" s="11">
        <v>-4.1000000000000002E-2</v>
      </c>
    </row>
    <row r="90" spans="5:23" x14ac:dyDescent="0.25">
      <c r="E90" s="34" t="s">
        <v>88</v>
      </c>
      <c r="F90" s="34" t="s">
        <v>86</v>
      </c>
      <c r="G90" s="34" t="s">
        <v>194</v>
      </c>
      <c r="H90" s="35">
        <v>12.97777777777778</v>
      </c>
      <c r="I90" s="35">
        <v>16.251652679179099</v>
      </c>
      <c r="J90" s="35">
        <v>58.545679872293107</v>
      </c>
      <c r="K90" s="35">
        <v>52.663770149882929</v>
      </c>
      <c r="L90" s="9">
        <v>0.16</v>
      </c>
      <c r="M90" s="9">
        <v>-0.06</v>
      </c>
      <c r="N90" s="9" t="str">
        <v>High</v>
      </c>
      <c r="O90" s="10" t="str">
        <v>Not High</v>
      </c>
      <c r="P90" s="10">
        <v>0</v>
      </c>
      <c r="Q90" s="10">
        <v>0</v>
      </c>
      <c r="R90" s="10">
        <v>0</v>
      </c>
      <c r="S90" s="10">
        <v>-99</v>
      </c>
      <c r="T90" s="10">
        <v>0</v>
      </c>
      <c r="U90" s="10">
        <v>0</v>
      </c>
      <c r="V90" s="11">
        <v>0.153</v>
      </c>
      <c r="W90" s="11">
        <v>6.0999999999999999E-2</v>
      </c>
    </row>
    <row r="91" spans="5:23" x14ac:dyDescent="0.25">
      <c r="E91" s="34" t="s">
        <v>89</v>
      </c>
      <c r="F91" s="34" t="s">
        <v>86</v>
      </c>
      <c r="G91" s="34" t="s">
        <v>194</v>
      </c>
      <c r="H91" s="35">
        <v>13.988888888888887</v>
      </c>
      <c r="I91" s="35">
        <v>16.960052112768864</v>
      </c>
      <c r="J91" s="35">
        <v>56.883861636358759</v>
      </c>
      <c r="K91" s="35">
        <v>59.056082344635925</v>
      </c>
      <c r="L91" s="9">
        <v>0.18</v>
      </c>
      <c r="M91" s="9">
        <v>-0.03</v>
      </c>
      <c r="N91" s="9" t="str">
        <v>High</v>
      </c>
      <c r="O91" s="10" t="str">
        <v>Not High</v>
      </c>
      <c r="P91" s="10">
        <v>0</v>
      </c>
      <c r="Q91" s="10">
        <v>0</v>
      </c>
      <c r="R91" s="10">
        <v>0</v>
      </c>
      <c r="S91" s="10">
        <v>-99</v>
      </c>
      <c r="T91" s="10">
        <v>0</v>
      </c>
      <c r="U91" s="10">
        <v>0</v>
      </c>
      <c r="V91" s="11">
        <v>8.6999999999999994E-2</v>
      </c>
      <c r="W91" s="11">
        <v>0.02</v>
      </c>
    </row>
    <row r="92" spans="5:23" x14ac:dyDescent="0.25">
      <c r="E92" s="34" t="s">
        <v>90</v>
      </c>
      <c r="F92" s="34" t="s">
        <v>91</v>
      </c>
      <c r="G92" s="34" t="s">
        <v>194</v>
      </c>
      <c r="H92" s="35">
        <v>13.599999999999998</v>
      </c>
      <c r="I92" s="35">
        <v>16.227655653733592</v>
      </c>
      <c r="J92" s="35">
        <v>42.850333362201368</v>
      </c>
      <c r="K92" s="35">
        <v>47.94628534969101</v>
      </c>
      <c r="L92" s="9">
        <v>0.38</v>
      </c>
      <c r="M92" s="9">
        <v>0.22</v>
      </c>
      <c r="N92" s="9" t="str">
        <v>Low</v>
      </c>
      <c r="O92" s="10" t="str">
        <v>Not High</v>
      </c>
      <c r="P92" s="10">
        <v>1.617</v>
      </c>
      <c r="Q92" s="10">
        <v>-0.46200000000000002</v>
      </c>
      <c r="R92" s="10">
        <v>1.617</v>
      </c>
      <c r="S92" s="10">
        <v>1.617</v>
      </c>
      <c r="T92" s="10">
        <v>8</v>
      </c>
      <c r="U92" s="10">
        <v>1</v>
      </c>
      <c r="V92" s="11">
        <v>0.113</v>
      </c>
      <c r="W92" s="11">
        <v>6.3E-2</v>
      </c>
    </row>
    <row r="93" spans="5:23" x14ac:dyDescent="0.25">
      <c r="E93" s="34" t="s">
        <v>92</v>
      </c>
      <c r="F93" s="34" t="s">
        <v>91</v>
      </c>
      <c r="G93" s="34" t="s">
        <v>194</v>
      </c>
      <c r="H93" s="35">
        <v>13.655555555555557</v>
      </c>
      <c r="I93" s="35">
        <v>16.31007431867901</v>
      </c>
      <c r="J93" s="35">
        <v>38.403134467394999</v>
      </c>
      <c r="K93" s="35">
        <v>52.41477990820114</v>
      </c>
      <c r="L93" s="9">
        <v>0.45</v>
      </c>
      <c r="M93" s="9">
        <v>0.31</v>
      </c>
      <c r="N93" s="9" t="str">
        <v>Low</v>
      </c>
      <c r="O93" s="10" t="str">
        <v>Not High</v>
      </c>
      <c r="P93" s="10">
        <v>2.141</v>
      </c>
      <c r="Q93" s="10">
        <v>9.9000000000000005E-2</v>
      </c>
      <c r="R93" s="10">
        <v>2.141</v>
      </c>
      <c r="S93" s="10">
        <v>2.141</v>
      </c>
      <c r="T93" s="10">
        <v>3</v>
      </c>
      <c r="U93" s="10">
        <v>1</v>
      </c>
      <c r="V93" s="11">
        <v>0.109</v>
      </c>
      <c r="W93" s="11">
        <v>5.8000000000000003E-2</v>
      </c>
    </row>
    <row r="94" spans="5:23" x14ac:dyDescent="0.25">
      <c r="E94" s="34" t="s">
        <v>96</v>
      </c>
      <c r="F94" s="34" t="s">
        <v>52</v>
      </c>
      <c r="G94" s="34" t="s">
        <v>194</v>
      </c>
      <c r="H94" s="35">
        <v>15.166666666666666</v>
      </c>
      <c r="I94" s="35">
        <v>17.4651862618751</v>
      </c>
      <c r="J94" s="35">
        <v>66.120182765711363</v>
      </c>
      <c r="K94" s="35">
        <v>55.175878783830392</v>
      </c>
      <c r="L94" s="9">
        <v>0.05</v>
      </c>
      <c r="M94" s="9">
        <v>-0.2</v>
      </c>
      <c r="N94" s="9" t="str">
        <v>High</v>
      </c>
      <c r="O94" s="10" t="str">
        <v>Not High</v>
      </c>
      <c r="P94" s="10">
        <v>0</v>
      </c>
      <c r="Q94" s="10">
        <v>0</v>
      </c>
      <c r="R94" s="10">
        <v>0</v>
      </c>
      <c r="S94" s="10">
        <v>-99</v>
      </c>
      <c r="T94" s="10">
        <v>0</v>
      </c>
      <c r="U94" s="10">
        <v>0</v>
      </c>
      <c r="V94" s="11">
        <v>0.01</v>
      </c>
      <c r="W94" s="11">
        <v>-8.9999999999999993E-3</v>
      </c>
    </row>
    <row r="95" spans="5:23" x14ac:dyDescent="0.25">
      <c r="E95" s="34" t="s">
        <v>99</v>
      </c>
      <c r="F95" s="34" t="s">
        <v>100</v>
      </c>
      <c r="G95" s="34" t="s">
        <v>194</v>
      </c>
      <c r="H95" s="35">
        <v>15.255555555555553</v>
      </c>
      <c r="I95" s="35">
        <v>18.428833327571908</v>
      </c>
      <c r="J95" s="35">
        <v>59.085279753513092</v>
      </c>
      <c r="K95" s="35">
        <v>62.393231126699419</v>
      </c>
      <c r="L95" s="9">
        <v>0.15</v>
      </c>
      <c r="M95" s="9">
        <v>-7.0000000000000007E-2</v>
      </c>
      <c r="N95" s="9" t="str">
        <v>High</v>
      </c>
      <c r="O95" s="10" t="str">
        <v>High</v>
      </c>
      <c r="P95" s="10">
        <v>0</v>
      </c>
      <c r="Q95" s="10">
        <v>0</v>
      </c>
      <c r="R95" s="10">
        <v>0</v>
      </c>
      <c r="S95" s="10">
        <v>-99</v>
      </c>
      <c r="T95" s="10">
        <v>0</v>
      </c>
      <c r="U95" s="10">
        <v>0</v>
      </c>
      <c r="V95" s="11">
        <v>5.0000000000000001E-3</v>
      </c>
      <c r="W95" s="11">
        <v>-6.5000000000000002E-2</v>
      </c>
    </row>
    <row r="96" spans="5:23" x14ac:dyDescent="0.25">
      <c r="E96" s="34" t="s">
        <v>107</v>
      </c>
      <c r="F96" s="34" t="s">
        <v>52</v>
      </c>
      <c r="G96" s="34" t="s">
        <v>194</v>
      </c>
      <c r="H96" s="35">
        <v>16.055555555555554</v>
      </c>
      <c r="I96" s="35">
        <v>21.492908367327388</v>
      </c>
      <c r="J96" s="35">
        <v>53.893471685967178</v>
      </c>
      <c r="K96" s="35">
        <v>68.856230028155068</v>
      </c>
      <c r="L96" s="9">
        <v>0.22</v>
      </c>
      <c r="M96" s="9">
        <v>0.03</v>
      </c>
      <c r="N96" s="9" t="str">
        <v>Medium</v>
      </c>
      <c r="O96" s="10" t="str">
        <v>High</v>
      </c>
      <c r="P96" s="10">
        <v>0</v>
      </c>
      <c r="Q96" s="10">
        <v>0</v>
      </c>
      <c r="R96" s="10">
        <v>0</v>
      </c>
      <c r="S96" s="10">
        <v>-99</v>
      </c>
      <c r="T96" s="10">
        <v>0</v>
      </c>
      <c r="U96" s="10">
        <v>0</v>
      </c>
      <c r="V96" s="11">
        <v>-4.8000000000000001E-2</v>
      </c>
      <c r="W96" s="11">
        <v>-0.24199999999999999</v>
      </c>
    </row>
    <row r="97" spans="5:23" x14ac:dyDescent="0.25">
      <c r="E97" s="34" t="s">
        <v>108</v>
      </c>
      <c r="F97" s="34" t="s">
        <v>109</v>
      </c>
      <c r="G97" s="34" t="s">
        <v>194</v>
      </c>
      <c r="H97" s="35">
        <v>11.688888888888888</v>
      </c>
      <c r="I97" s="35">
        <v>15.839990240493616</v>
      </c>
      <c r="J97" s="35">
        <v>61.11639727329969</v>
      </c>
      <c r="K97" s="35">
        <v>40.939330164965639</v>
      </c>
      <c r="L97" s="9">
        <v>0.12</v>
      </c>
      <c r="M97" s="9">
        <v>-0.11</v>
      </c>
      <c r="N97" s="9" t="str">
        <v>High</v>
      </c>
      <c r="O97" s="10" t="str">
        <v>Not High</v>
      </c>
      <c r="P97" s="10">
        <v>0</v>
      </c>
      <c r="Q97" s="10">
        <v>0</v>
      </c>
      <c r="R97" s="10">
        <v>0</v>
      </c>
      <c r="S97" s="10">
        <v>-99</v>
      </c>
      <c r="T97" s="10">
        <v>0</v>
      </c>
      <c r="U97" s="10">
        <v>0</v>
      </c>
      <c r="V97" s="11">
        <v>0.23699999999999999</v>
      </c>
      <c r="W97" s="11">
        <v>8.5000000000000006E-2</v>
      </c>
    </row>
    <row r="98" spans="5:23" x14ac:dyDescent="0.25">
      <c r="E98" s="34" t="s">
        <v>110</v>
      </c>
      <c r="F98" s="34" t="s">
        <v>52</v>
      </c>
      <c r="G98" s="34" t="s">
        <v>194</v>
      </c>
      <c r="H98" s="35">
        <v>13.411111111111111</v>
      </c>
      <c r="I98" s="35">
        <v>16.448997255249218</v>
      </c>
      <c r="J98" s="35">
        <v>51.227778439098778</v>
      </c>
      <c r="K98" s="35">
        <v>43.590910315563008</v>
      </c>
      <c r="L98" s="9">
        <v>0.26</v>
      </c>
      <c r="M98" s="9">
        <v>7.0000000000000007E-2</v>
      </c>
      <c r="N98" s="9" t="str">
        <v>Medium</v>
      </c>
      <c r="O98" s="10" t="str">
        <v>Not High</v>
      </c>
      <c r="P98" s="10">
        <v>0.629</v>
      </c>
      <c r="Q98" s="10">
        <v>-1.0089999999999999</v>
      </c>
      <c r="R98" s="10">
        <v>0.629</v>
      </c>
      <c r="S98" s="10">
        <v>0.629</v>
      </c>
      <c r="T98" s="10">
        <v>39</v>
      </c>
      <c r="U98" s="10">
        <v>1</v>
      </c>
      <c r="V98" s="11">
        <v>0.125</v>
      </c>
      <c r="W98" s="11">
        <v>0.05</v>
      </c>
    </row>
    <row r="99" spans="5:23" x14ac:dyDescent="0.25">
      <c r="E99" s="34" t="s">
        <v>111</v>
      </c>
      <c r="F99" s="34" t="s">
        <v>47</v>
      </c>
      <c r="G99" s="34" t="s">
        <v>194</v>
      </c>
      <c r="H99" s="35">
        <v>14.5</v>
      </c>
      <c r="I99" s="35">
        <v>16.904082167465965</v>
      </c>
      <c r="J99" s="35">
        <v>57.174780918443879</v>
      </c>
      <c r="K99" s="35">
        <v>38.636656720967835</v>
      </c>
      <c r="L99" s="9">
        <v>0.18</v>
      </c>
      <c r="M99" s="9">
        <v>-0.03</v>
      </c>
      <c r="N99" s="9" t="str">
        <v>High</v>
      </c>
      <c r="O99" s="10" t="str">
        <v>Not High</v>
      </c>
      <c r="P99" s="10">
        <v>0</v>
      </c>
      <c r="Q99" s="10">
        <v>0</v>
      </c>
      <c r="R99" s="10">
        <v>0</v>
      </c>
      <c r="S99" s="10">
        <v>-99</v>
      </c>
      <c r="T99" s="10">
        <v>0</v>
      </c>
      <c r="U99" s="10">
        <v>0</v>
      </c>
      <c r="V99" s="11">
        <v>5.3999999999999999E-2</v>
      </c>
      <c r="W99" s="11">
        <v>2.4E-2</v>
      </c>
    </row>
    <row r="100" spans="5:23" x14ac:dyDescent="0.25">
      <c r="E100" s="34" t="s">
        <v>112</v>
      </c>
      <c r="F100" s="34" t="s">
        <v>47</v>
      </c>
      <c r="G100" s="34" t="s">
        <v>194</v>
      </c>
      <c r="H100" s="35">
        <v>15.200000000000001</v>
      </c>
      <c r="I100" s="35">
        <v>17.299680021760054</v>
      </c>
      <c r="J100" s="35">
        <v>49.619648038107769</v>
      </c>
      <c r="K100" s="35">
        <v>50.742642764442358</v>
      </c>
      <c r="L100" s="9">
        <v>0.28999999999999998</v>
      </c>
      <c r="M100" s="9">
        <v>0.1</v>
      </c>
      <c r="N100" s="9" t="str">
        <v>Medium</v>
      </c>
      <c r="O100" s="10" t="str">
        <v>Not High</v>
      </c>
      <c r="P100" s="10">
        <v>0.81899999999999995</v>
      </c>
      <c r="Q100" s="10">
        <v>-0.111</v>
      </c>
      <c r="R100" s="10">
        <v>0.81899999999999995</v>
      </c>
      <c r="S100" s="10">
        <v>0.81899999999999995</v>
      </c>
      <c r="T100" s="10">
        <v>29</v>
      </c>
      <c r="U100" s="10">
        <v>1</v>
      </c>
      <c r="V100" s="11">
        <v>8.0000000000000002E-3</v>
      </c>
      <c r="W100" s="11">
        <v>1E-3</v>
      </c>
    </row>
    <row r="101" spans="5:23" x14ac:dyDescent="0.25">
      <c r="E101" s="34" t="s">
        <v>115</v>
      </c>
      <c r="F101" s="34" t="s">
        <v>47</v>
      </c>
      <c r="G101" s="34" t="s">
        <v>194</v>
      </c>
      <c r="H101" s="35">
        <v>15.711111111111112</v>
      </c>
      <c r="I101" s="35">
        <v>17.701560072760486</v>
      </c>
      <c r="J101" s="35">
        <v>59.744081084664572</v>
      </c>
      <c r="K101" s="35">
        <v>50.283528115395342</v>
      </c>
      <c r="L101" s="9">
        <v>0.14000000000000001</v>
      </c>
      <c r="M101" s="9">
        <v>-0.08</v>
      </c>
      <c r="N101" s="9" t="str">
        <v>High</v>
      </c>
      <c r="O101" s="10" t="str">
        <v>Not High</v>
      </c>
      <c r="P101" s="10">
        <v>0</v>
      </c>
      <c r="Q101" s="10">
        <v>0</v>
      </c>
      <c r="R101" s="10">
        <v>0</v>
      </c>
      <c r="S101" s="10">
        <v>-99</v>
      </c>
      <c r="T101" s="10">
        <v>0</v>
      </c>
      <c r="U101" s="10">
        <v>0</v>
      </c>
      <c r="V101" s="11">
        <v>-2.5000000000000001E-2</v>
      </c>
      <c r="W101" s="11">
        <v>-2.3E-2</v>
      </c>
    </row>
    <row r="102" spans="5:23" x14ac:dyDescent="0.25">
      <c r="E102" s="34" t="s">
        <v>116</v>
      </c>
      <c r="F102" s="34" t="s">
        <v>47</v>
      </c>
      <c r="G102" s="34" t="s">
        <v>194</v>
      </c>
      <c r="H102" s="35">
        <v>15.477777777777776</v>
      </c>
      <c r="I102" s="35">
        <v>17.956732843718914</v>
      </c>
      <c r="J102" s="35">
        <v>48.763929288356472</v>
      </c>
      <c r="K102" s="35">
        <v>55.635396316843668</v>
      </c>
      <c r="L102" s="9">
        <v>0.3</v>
      </c>
      <c r="M102" s="9">
        <v>0.12</v>
      </c>
      <c r="N102" s="9" t="str">
        <v>Medium</v>
      </c>
      <c r="O102" s="10" t="str">
        <v>Not High</v>
      </c>
      <c r="P102" s="10">
        <v>0.92</v>
      </c>
      <c r="Q102" s="10">
        <v>0.504</v>
      </c>
      <c r="R102" s="10">
        <v>0.92</v>
      </c>
      <c r="S102" s="10">
        <v>0.92</v>
      </c>
      <c r="T102" s="10">
        <v>27</v>
      </c>
      <c r="U102" s="10">
        <v>1</v>
      </c>
      <c r="V102" s="11">
        <v>-0.01</v>
      </c>
      <c r="W102" s="11">
        <v>-3.6999999999999998E-2</v>
      </c>
    </row>
    <row r="103" spans="5:23" x14ac:dyDescent="0.25">
      <c r="E103" s="34" t="s">
        <v>117</v>
      </c>
      <c r="F103" s="34" t="s">
        <v>47</v>
      </c>
      <c r="G103" s="34" t="s">
        <v>194</v>
      </c>
      <c r="H103" s="35">
        <v>15.188888888888888</v>
      </c>
      <c r="I103" s="35">
        <v>17.681670993383342</v>
      </c>
      <c r="J103" s="35">
        <v>46.806204458977177</v>
      </c>
      <c r="K103" s="35">
        <v>55.379698583662041</v>
      </c>
      <c r="L103" s="9">
        <v>0.33</v>
      </c>
      <c r="M103" s="9">
        <v>0.15</v>
      </c>
      <c r="N103" s="9" t="str">
        <v>Medium</v>
      </c>
      <c r="O103" s="10" t="str">
        <v>Not High</v>
      </c>
      <c r="P103" s="10">
        <v>1.151</v>
      </c>
      <c r="Q103" s="10">
        <v>0.47099999999999997</v>
      </c>
      <c r="R103" s="10">
        <v>1.151</v>
      </c>
      <c r="S103" s="10">
        <v>1.151</v>
      </c>
      <c r="T103" s="10">
        <v>17</v>
      </c>
      <c r="U103" s="10">
        <v>1</v>
      </c>
      <c r="V103" s="11">
        <v>8.9999999999999993E-3</v>
      </c>
      <c r="W103" s="11">
        <v>-2.1000000000000001E-2</v>
      </c>
    </row>
    <row r="104" spans="5:23" x14ac:dyDescent="0.25">
      <c r="E104" s="34" t="s">
        <v>118</v>
      </c>
      <c r="F104" s="34" t="s">
        <v>47</v>
      </c>
      <c r="G104" s="34" t="s">
        <v>194</v>
      </c>
      <c r="H104" s="35">
        <v>15.91111111111111</v>
      </c>
      <c r="I104" s="35">
        <v>18.27727410018835</v>
      </c>
      <c r="J104" s="35">
        <v>49.898653331611719</v>
      </c>
      <c r="K104" s="35">
        <v>55.575559486816111</v>
      </c>
      <c r="L104" s="9">
        <v>0.28000000000000003</v>
      </c>
      <c r="M104" s="9">
        <v>0.1</v>
      </c>
      <c r="N104" s="9" t="str">
        <v>Medium</v>
      </c>
      <c r="O104" s="10" t="str">
        <v>Not High</v>
      </c>
      <c r="P104" s="10">
        <v>0.78600000000000003</v>
      </c>
      <c r="Q104" s="10">
        <v>0.496</v>
      </c>
      <c r="R104" s="10">
        <v>0.78600000000000003</v>
      </c>
      <c r="S104" s="10">
        <v>0.78600000000000003</v>
      </c>
      <c r="T104" s="10">
        <v>33</v>
      </c>
      <c r="U104" s="10">
        <v>1</v>
      </c>
      <c r="V104" s="11">
        <v>-3.7999999999999999E-2</v>
      </c>
      <c r="W104" s="11">
        <v>-5.6000000000000001E-2</v>
      </c>
    </row>
    <row r="105" spans="5:23" x14ac:dyDescent="0.25">
      <c r="E105" s="34" t="s">
        <v>119</v>
      </c>
      <c r="F105" s="34" t="s">
        <v>47</v>
      </c>
      <c r="G105" s="34" t="s">
        <v>194</v>
      </c>
      <c r="H105" s="35">
        <v>15.611111111111111</v>
      </c>
      <c r="I105" s="35">
        <v>18.059424815391708</v>
      </c>
      <c r="J105" s="35">
        <v>48.226934948184002</v>
      </c>
      <c r="K105" s="35">
        <v>62.280000445836194</v>
      </c>
      <c r="L105" s="9">
        <v>0.31</v>
      </c>
      <c r="M105" s="9">
        <v>0.13</v>
      </c>
      <c r="N105" s="9" t="str">
        <v>Medium</v>
      </c>
      <c r="O105" s="10" t="str">
        <v>High</v>
      </c>
      <c r="P105" s="10">
        <v>0</v>
      </c>
      <c r="Q105" s="10">
        <v>0</v>
      </c>
      <c r="R105" s="10">
        <v>0</v>
      </c>
      <c r="S105" s="10">
        <v>-99</v>
      </c>
      <c r="T105" s="10">
        <v>0</v>
      </c>
      <c r="U105" s="10">
        <v>0</v>
      </c>
      <c r="V105" s="11">
        <v>-1.9E-2</v>
      </c>
      <c r="W105" s="11">
        <v>-4.2999999999999997E-2</v>
      </c>
    </row>
    <row r="106" spans="5:23" x14ac:dyDescent="0.25">
      <c r="E106" s="34" t="s">
        <v>120</v>
      </c>
      <c r="F106" s="34" t="s">
        <v>47</v>
      </c>
      <c r="G106" s="34" t="s">
        <v>194</v>
      </c>
      <c r="H106" s="35">
        <v>15.311111111111112</v>
      </c>
      <c r="I106" s="35">
        <v>17.591551134634727</v>
      </c>
      <c r="J106" s="35">
        <v>53.195251156013192</v>
      </c>
      <c r="K106" s="35">
        <v>54.791218330624901</v>
      </c>
      <c r="L106" s="9">
        <v>0.23</v>
      </c>
      <c r="M106" s="9">
        <v>0.04</v>
      </c>
      <c r="N106" s="9" t="str">
        <v>Medium</v>
      </c>
      <c r="O106" s="10" t="str">
        <v>Not High</v>
      </c>
      <c r="P106" s="10">
        <v>0.39700000000000002</v>
      </c>
      <c r="Q106" s="10">
        <v>0.39800000000000002</v>
      </c>
      <c r="R106" s="10">
        <v>0.39700000000000002</v>
      </c>
      <c r="S106" s="10">
        <v>0.39700000000000002</v>
      </c>
      <c r="T106" s="10">
        <v>44</v>
      </c>
      <c r="U106" s="10">
        <v>1</v>
      </c>
      <c r="V106" s="11">
        <v>1E-3</v>
      </c>
      <c r="W106" s="11">
        <v>-1.6E-2</v>
      </c>
    </row>
    <row r="107" spans="5:23" x14ac:dyDescent="0.25">
      <c r="E107" s="34" t="s">
        <v>121</v>
      </c>
      <c r="F107" s="34" t="s">
        <v>47</v>
      </c>
      <c r="G107" s="34" t="s">
        <v>194</v>
      </c>
      <c r="H107" s="35">
        <v>15.255555555555553</v>
      </c>
      <c r="I107" s="35">
        <v>17.552726986610402</v>
      </c>
      <c r="J107" s="35">
        <v>54.863012766164658</v>
      </c>
      <c r="K107" s="35">
        <v>48.827985817569278</v>
      </c>
      <c r="L107" s="9">
        <v>0.21</v>
      </c>
      <c r="M107" s="9">
        <v>0.01</v>
      </c>
      <c r="N107" s="9" t="str">
        <v>Medium</v>
      </c>
      <c r="O107" s="10" t="str">
        <v>Not High</v>
      </c>
      <c r="P107" s="10">
        <v>0.20100000000000001</v>
      </c>
      <c r="Q107" s="10">
        <v>-0.35099999999999998</v>
      </c>
      <c r="R107" s="10">
        <v>0.20100000000000001</v>
      </c>
      <c r="S107" s="10">
        <v>0.20100000000000001</v>
      </c>
      <c r="T107" s="10">
        <v>50</v>
      </c>
      <c r="U107" s="10">
        <v>1</v>
      </c>
      <c r="V107" s="11">
        <v>5.0000000000000001E-3</v>
      </c>
      <c r="W107" s="11">
        <v>-1.4E-2</v>
      </c>
    </row>
    <row r="108" spans="5:23" x14ac:dyDescent="0.25">
      <c r="E108" s="34" t="s">
        <v>122</v>
      </c>
      <c r="F108" s="34" t="s">
        <v>47</v>
      </c>
      <c r="G108" s="34" t="s">
        <v>194</v>
      </c>
      <c r="H108" s="35">
        <v>14.244444444444447</v>
      </c>
      <c r="I108" s="35">
        <v>17.197043306276591</v>
      </c>
      <c r="J108" s="35">
        <v>52.41257244464348</v>
      </c>
      <c r="K108" s="35">
        <v>44.909108302321918</v>
      </c>
      <c r="L108" s="9">
        <v>0.25</v>
      </c>
      <c r="M108" s="9">
        <v>0.05</v>
      </c>
      <c r="N108" s="9" t="str">
        <v>Medium</v>
      </c>
      <c r="O108" s="10" t="str">
        <v>Not High</v>
      </c>
      <c r="P108" s="10">
        <v>0.49</v>
      </c>
      <c r="Q108" s="10">
        <v>-0.84299999999999997</v>
      </c>
      <c r="R108" s="10">
        <v>0.49</v>
      </c>
      <c r="S108" s="10">
        <v>0.49</v>
      </c>
      <c r="T108" s="10">
        <v>42</v>
      </c>
      <c r="U108" s="10">
        <v>1</v>
      </c>
      <c r="V108" s="11">
        <v>7.0999999999999994E-2</v>
      </c>
      <c r="W108" s="11">
        <v>7.0000000000000001E-3</v>
      </c>
    </row>
    <row r="109" spans="5:23" x14ac:dyDescent="0.25">
      <c r="E109" s="34" t="s">
        <v>124</v>
      </c>
      <c r="F109" s="34" t="s">
        <v>125</v>
      </c>
      <c r="G109" s="34" t="s">
        <v>194</v>
      </c>
      <c r="H109" s="35">
        <v>14.133333333333333</v>
      </c>
      <c r="I109" s="35">
        <v>15.131809385544338</v>
      </c>
      <c r="J109" s="35">
        <v>54.273993881443516</v>
      </c>
      <c r="K109" s="35">
        <v>38.215515141594921</v>
      </c>
      <c r="L109" s="9">
        <v>0.22</v>
      </c>
      <c r="M109" s="9">
        <v>0.02</v>
      </c>
      <c r="N109" s="9" t="str">
        <v>Medium</v>
      </c>
      <c r="O109" s="10" t="str">
        <v>Not High</v>
      </c>
      <c r="P109" s="10">
        <v>0.27</v>
      </c>
      <c r="Q109" s="10">
        <v>-1.6839999999999999</v>
      </c>
      <c r="R109" s="10">
        <v>0.27</v>
      </c>
      <c r="S109" s="10">
        <v>0.27</v>
      </c>
      <c r="T109" s="10">
        <v>49</v>
      </c>
      <c r="U109" s="10">
        <v>1</v>
      </c>
      <c r="V109" s="11">
        <v>7.8E-2</v>
      </c>
      <c r="W109" s="11">
        <v>0.126</v>
      </c>
    </row>
    <row r="110" spans="5:23" x14ac:dyDescent="0.25">
      <c r="E110" s="34" t="s">
        <v>127</v>
      </c>
      <c r="F110" s="34" t="s">
        <v>56</v>
      </c>
      <c r="G110" s="34" t="s">
        <v>194</v>
      </c>
      <c r="H110" s="35">
        <v>13.066666666666668</v>
      </c>
      <c r="I110" s="35">
        <v>14.312668836015957</v>
      </c>
      <c r="J110" s="35">
        <v>44.807942259385641</v>
      </c>
      <c r="K110" s="35">
        <v>36.7400097463793</v>
      </c>
      <c r="L110" s="9">
        <v>0.35</v>
      </c>
      <c r="M110" s="9">
        <v>0.19</v>
      </c>
      <c r="N110" s="9" t="str">
        <v>Low</v>
      </c>
      <c r="O110" s="10" t="str">
        <v>Not High</v>
      </c>
      <c r="P110" s="10">
        <v>1.3859999999999999</v>
      </c>
      <c r="Q110" s="10">
        <v>-1.869</v>
      </c>
      <c r="R110" s="10">
        <v>1.3859999999999999</v>
      </c>
      <c r="S110" s="10">
        <v>1.3859999999999999</v>
      </c>
      <c r="T110" s="10">
        <v>10</v>
      </c>
      <c r="U110" s="10">
        <v>1</v>
      </c>
      <c r="V110" s="11">
        <v>0.14699999999999999</v>
      </c>
      <c r="W110" s="11">
        <v>0.17299999999999999</v>
      </c>
    </row>
    <row r="111" spans="5:23" x14ac:dyDescent="0.25">
      <c r="E111" s="34" t="s">
        <v>128</v>
      </c>
      <c r="F111" s="34" t="s">
        <v>47</v>
      </c>
      <c r="G111" s="34" t="s">
        <v>194</v>
      </c>
      <c r="H111" s="35">
        <v>14.377777777777778</v>
      </c>
      <c r="I111" s="35">
        <v>15.903100113213952</v>
      </c>
      <c r="J111" s="35">
        <v>51.273196126758727</v>
      </c>
      <c r="K111" s="35">
        <v>49.664608578084888</v>
      </c>
      <c r="L111" s="9">
        <v>0.26</v>
      </c>
      <c r="M111" s="9">
        <v>7.0000000000000007E-2</v>
      </c>
      <c r="N111" s="9" t="str">
        <v>Medium</v>
      </c>
      <c r="O111" s="10" t="str">
        <v>Not High</v>
      </c>
      <c r="P111" s="10">
        <v>0.624</v>
      </c>
      <c r="Q111" s="10">
        <v>-0.246</v>
      </c>
      <c r="R111" s="10">
        <v>0.624</v>
      </c>
      <c r="S111" s="10">
        <v>0.624</v>
      </c>
      <c r="T111" s="10">
        <v>40</v>
      </c>
      <c r="U111" s="10">
        <v>1</v>
      </c>
      <c r="V111" s="11">
        <v>6.2E-2</v>
      </c>
      <c r="W111" s="11">
        <v>8.1000000000000003E-2</v>
      </c>
    </row>
    <row r="112" spans="5:23" x14ac:dyDescent="0.25">
      <c r="E112" s="34" t="s">
        <v>69</v>
      </c>
      <c r="F112" s="34" t="s">
        <v>56</v>
      </c>
      <c r="G112" s="34" t="s">
        <v>194</v>
      </c>
      <c r="H112" s="35">
        <v>15.116666666666667</v>
      </c>
      <c r="I112" s="35">
        <v>16.69472255035382</v>
      </c>
      <c r="J112" s="35">
        <v>42.540847165965822</v>
      </c>
      <c r="K112" s="35">
        <v>43.158465129790159</v>
      </c>
      <c r="L112" s="9">
        <v>0.39</v>
      </c>
      <c r="M112" s="9">
        <v>0.23</v>
      </c>
      <c r="N112" s="9" t="str">
        <v>Low</v>
      </c>
      <c r="O112" s="10" t="str">
        <v>Not High</v>
      </c>
      <c r="P112" s="10">
        <v>1.653</v>
      </c>
      <c r="Q112" s="10">
        <v>-1.0629999999999999</v>
      </c>
      <c r="R112" s="10">
        <v>1.653</v>
      </c>
      <c r="S112" s="10">
        <v>1.653</v>
      </c>
      <c r="T112" s="10">
        <v>6</v>
      </c>
      <c r="U112" s="10">
        <v>1</v>
      </c>
      <c r="V112" s="11">
        <v>1.4E-2</v>
      </c>
      <c r="W112" s="11">
        <v>3.5999999999999997E-2</v>
      </c>
    </row>
    <row r="113" spans="5:23" x14ac:dyDescent="0.25">
      <c r="E113" s="34" t="s">
        <v>70</v>
      </c>
      <c r="F113" s="34" t="s">
        <v>52</v>
      </c>
      <c r="G113" s="34" t="s">
        <v>194</v>
      </c>
      <c r="H113" s="35">
        <v>18.25</v>
      </c>
      <c r="I113" s="35">
        <v>20.757545584150098</v>
      </c>
      <c r="J113" s="35">
        <v>59.579304893787729</v>
      </c>
      <c r="K113" s="35">
        <v>59.081192017394265</v>
      </c>
      <c r="L113" s="9">
        <v>0.14000000000000001</v>
      </c>
      <c r="M113" s="9">
        <v>-0.08</v>
      </c>
      <c r="N113" s="9" t="str">
        <v>High</v>
      </c>
      <c r="O113" s="10" t="str">
        <v>Not High</v>
      </c>
      <c r="P113" s="10">
        <v>0</v>
      </c>
      <c r="Q113" s="10">
        <v>0</v>
      </c>
      <c r="R113" s="10">
        <v>0</v>
      </c>
      <c r="S113" s="10">
        <v>-99</v>
      </c>
      <c r="T113" s="10">
        <v>0</v>
      </c>
      <c r="U113" s="10">
        <v>0</v>
      </c>
      <c r="V113" s="11">
        <v>-0.191</v>
      </c>
      <c r="W113" s="11">
        <v>-0.19900000000000001</v>
      </c>
    </row>
    <row r="114" spans="5:23" x14ac:dyDescent="0.25">
      <c r="E114" s="34" t="s">
        <v>71</v>
      </c>
      <c r="F114" s="34" t="s">
        <v>52</v>
      </c>
      <c r="G114" s="34" t="s">
        <v>194</v>
      </c>
      <c r="H114" s="35">
        <v>18.133333333333333</v>
      </c>
      <c r="I114" s="35">
        <v>20.822964940087257</v>
      </c>
      <c r="J114" s="35">
        <v>60.124289412445904</v>
      </c>
      <c r="K114" s="35">
        <v>57.431634086006255</v>
      </c>
      <c r="L114" s="9">
        <v>0.13</v>
      </c>
      <c r="M114" s="9">
        <v>-0.09</v>
      </c>
      <c r="N114" s="9" t="str">
        <v>High</v>
      </c>
      <c r="O114" s="10" t="str">
        <v>Not High</v>
      </c>
      <c r="P114" s="10">
        <v>0</v>
      </c>
      <c r="Q114" s="10">
        <v>0</v>
      </c>
      <c r="R114" s="10">
        <v>0</v>
      </c>
      <c r="S114" s="10">
        <v>-99</v>
      </c>
      <c r="T114" s="10">
        <v>0</v>
      </c>
      <c r="U114" s="10">
        <v>0</v>
      </c>
      <c r="V114" s="11">
        <v>-0.183</v>
      </c>
      <c r="W114" s="11">
        <v>-0.20300000000000001</v>
      </c>
    </row>
    <row r="115" spans="5:23" x14ac:dyDescent="0.25">
      <c r="E115" s="34" t="s">
        <v>72</v>
      </c>
      <c r="F115" s="34" t="s">
        <v>56</v>
      </c>
      <c r="G115" s="34" t="s">
        <v>194</v>
      </c>
      <c r="H115" s="35">
        <v>19.383333333333336</v>
      </c>
      <c r="I115" s="35">
        <v>22.655609535165823</v>
      </c>
      <c r="J115" s="35">
        <v>68.017986247795335</v>
      </c>
      <c r="K115" s="35">
        <v>55.494341392027728</v>
      </c>
      <c r="L115" s="9">
        <v>0.02</v>
      </c>
      <c r="M115" s="9">
        <v>-0.23</v>
      </c>
      <c r="N115" s="9" t="str">
        <v>High</v>
      </c>
      <c r="O115" s="10" t="str">
        <v>Not High</v>
      </c>
      <c r="P115" s="10">
        <v>0</v>
      </c>
      <c r="Q115" s="10">
        <v>0</v>
      </c>
      <c r="R115" s="10">
        <v>0</v>
      </c>
      <c r="S115" s="10">
        <v>-99</v>
      </c>
      <c r="T115" s="10">
        <v>0</v>
      </c>
      <c r="U115" s="10">
        <v>0</v>
      </c>
      <c r="V115" s="11">
        <v>-0.26500000000000001</v>
      </c>
      <c r="W115" s="11">
        <v>-0.309</v>
      </c>
    </row>
    <row r="116" spans="5:23" x14ac:dyDescent="0.25">
      <c r="E116" s="34" t="s">
        <v>81</v>
      </c>
      <c r="F116" s="34" t="s">
        <v>52</v>
      </c>
      <c r="G116" s="34" t="s">
        <v>194</v>
      </c>
      <c r="H116" s="35">
        <v>17.016666666666666</v>
      </c>
      <c r="I116" s="35">
        <v>19.206350371568146</v>
      </c>
      <c r="J116" s="35">
        <v>68.202115183883606</v>
      </c>
      <c r="K116" s="35">
        <v>57.767089105434742</v>
      </c>
      <c r="L116" s="9">
        <v>0.02</v>
      </c>
      <c r="M116" s="9">
        <v>-0.23</v>
      </c>
      <c r="N116" s="9" t="str">
        <v>High</v>
      </c>
      <c r="O116" s="10" t="str">
        <v>Not High</v>
      </c>
      <c r="P116" s="10">
        <v>0</v>
      </c>
      <c r="Q116" s="10">
        <v>0</v>
      </c>
      <c r="R116" s="10">
        <v>0</v>
      </c>
      <c r="S116" s="10">
        <v>-99</v>
      </c>
      <c r="T116" s="10">
        <v>0</v>
      </c>
      <c r="U116" s="10">
        <v>0</v>
      </c>
      <c r="V116" s="11">
        <v>-0.11</v>
      </c>
      <c r="W116" s="11">
        <v>-0.109</v>
      </c>
    </row>
    <row r="117" spans="5:23" x14ac:dyDescent="0.25">
      <c r="E117" s="34" t="s">
        <v>82</v>
      </c>
      <c r="F117" s="34" t="s">
        <v>83</v>
      </c>
      <c r="G117" s="34" t="s">
        <v>194</v>
      </c>
      <c r="H117" s="35">
        <v>16.84</v>
      </c>
      <c r="I117" s="35">
        <v>18.087308668921132</v>
      </c>
      <c r="J117" s="35">
        <v>28.53385037119245</v>
      </c>
      <c r="K117" s="35">
        <v>50.993326424937898</v>
      </c>
      <c r="L117" s="9">
        <v>0.59</v>
      </c>
      <c r="M117" s="9">
        <v>0.48</v>
      </c>
      <c r="N117" s="9" t="str">
        <v>Low</v>
      </c>
      <c r="O117" s="10" t="str">
        <v>Not High</v>
      </c>
      <c r="P117" s="10">
        <v>3.3050000000000002</v>
      </c>
      <c r="Q117" s="10">
        <v>-7.9000000000000001E-2</v>
      </c>
      <c r="R117" s="10">
        <v>3.3050000000000002</v>
      </c>
      <c r="S117" s="10">
        <v>3.3050000000000002</v>
      </c>
      <c r="T117" s="10">
        <v>1</v>
      </c>
      <c r="U117" s="10">
        <v>1</v>
      </c>
      <c r="V117" s="11">
        <v>-9.9000000000000005E-2</v>
      </c>
      <c r="W117" s="11">
        <v>-4.4999999999999998E-2</v>
      </c>
    </row>
    <row r="118" spans="5:23" x14ac:dyDescent="0.25">
      <c r="E118" s="34" t="s">
        <v>84</v>
      </c>
      <c r="F118" s="34" t="s">
        <v>52</v>
      </c>
      <c r="G118" s="34" t="s">
        <v>194</v>
      </c>
      <c r="H118" s="35">
        <v>17.05</v>
      </c>
      <c r="I118" s="35">
        <v>18.999781922141242</v>
      </c>
      <c r="J118" s="35">
        <v>72.637369175102336</v>
      </c>
      <c r="K118" s="35">
        <v>53.40101588352897</v>
      </c>
      <c r="L118" s="9">
        <v>-0.05</v>
      </c>
      <c r="M118" s="9">
        <v>-0.31</v>
      </c>
      <c r="N118" s="9" t="str">
        <v>High</v>
      </c>
      <c r="O118" s="10" t="str">
        <v>Not High</v>
      </c>
      <c r="P118" s="10">
        <v>0</v>
      </c>
      <c r="Q118" s="10">
        <v>0</v>
      </c>
      <c r="R118" s="10">
        <v>0</v>
      </c>
      <c r="S118" s="10">
        <v>-99</v>
      </c>
      <c r="T118" s="10">
        <v>0</v>
      </c>
      <c r="U118" s="10">
        <v>0</v>
      </c>
      <c r="V118" s="11">
        <v>-0.113</v>
      </c>
      <c r="W118" s="11">
        <v>-9.7000000000000003E-2</v>
      </c>
    </row>
    <row r="119" spans="5:23" x14ac:dyDescent="0.25">
      <c r="E119" s="34" t="s">
        <v>32</v>
      </c>
      <c r="F119" s="34" t="s">
        <v>86</v>
      </c>
      <c r="G119" s="34" t="s">
        <v>195</v>
      </c>
      <c r="H119" s="35">
        <v>14.533333333333333</v>
      </c>
      <c r="I119" s="35">
        <v>16.398712767286192</v>
      </c>
      <c r="J119" s="35">
        <v>58.674466566493862</v>
      </c>
      <c r="K119" s="35">
        <v>48.920125127632858</v>
      </c>
      <c r="L119" s="9">
        <v>0.15</v>
      </c>
      <c r="M119" s="9">
        <v>-0.06</v>
      </c>
      <c r="N119" s="9" t="str">
        <v>High</v>
      </c>
      <c r="O119" s="10" t="str">
        <v>Not High</v>
      </c>
      <c r="P119" s="10">
        <v>0</v>
      </c>
      <c r="Q119" s="10">
        <v>0</v>
      </c>
      <c r="R119" s="10">
        <v>0</v>
      </c>
      <c r="S119" s="10">
        <v>-99</v>
      </c>
      <c r="T119" s="10">
        <v>0</v>
      </c>
      <c r="U119" s="10">
        <v>0</v>
      </c>
      <c r="V119" s="11">
        <v>5.1999999999999998E-2</v>
      </c>
      <c r="W119" s="11">
        <v>5.2999999999999999E-2</v>
      </c>
    </row>
    <row r="120" spans="5:23" x14ac:dyDescent="0.25">
      <c r="E120" s="34" t="s">
        <v>34</v>
      </c>
      <c r="F120" s="34" t="s">
        <v>91</v>
      </c>
      <c r="G120" s="34" t="s">
        <v>195</v>
      </c>
      <c r="H120" s="35">
        <v>15.644444444444444</v>
      </c>
      <c r="I120" s="35">
        <v>17.476378308750448</v>
      </c>
      <c r="J120" s="35">
        <v>37.714007430768476</v>
      </c>
      <c r="K120" s="35">
        <v>44.354671393958128</v>
      </c>
      <c r="L120" s="9">
        <v>0.46</v>
      </c>
      <c r="M120" s="9">
        <v>0.32</v>
      </c>
      <c r="N120" s="9" t="str">
        <v>Low</v>
      </c>
      <c r="O120" s="10" t="str">
        <v>Not High</v>
      </c>
      <c r="P120" s="10">
        <v>2.2229999999999999</v>
      </c>
      <c r="Q120" s="10">
        <v>-0.91300000000000003</v>
      </c>
      <c r="R120" s="10">
        <v>2.2229999999999999</v>
      </c>
      <c r="S120" s="10">
        <v>2.2229999999999999</v>
      </c>
      <c r="T120" s="10">
        <v>2</v>
      </c>
      <c r="U120" s="10">
        <v>1</v>
      </c>
      <c r="V120" s="11">
        <v>-2.1000000000000001E-2</v>
      </c>
      <c r="W120" s="11">
        <v>-8.9999999999999993E-3</v>
      </c>
    </row>
    <row r="121" spans="5:23" x14ac:dyDescent="0.25">
      <c r="E121" s="34" t="s">
        <v>22</v>
      </c>
      <c r="F121" s="34" t="s">
        <v>56</v>
      </c>
      <c r="G121" s="34" t="s">
        <v>195</v>
      </c>
      <c r="H121" s="35">
        <v>14.255555555555556</v>
      </c>
      <c r="I121" s="35">
        <v>17.373629262642375</v>
      </c>
      <c r="J121" s="35">
        <v>74.338762992779309</v>
      </c>
      <c r="K121" s="35">
        <v>35.77198934135496</v>
      </c>
      <c r="L121" s="9">
        <v>-7.0000000000000007E-2</v>
      </c>
      <c r="M121" s="9">
        <v>-0.34</v>
      </c>
      <c r="N121" s="9" t="str">
        <v>High</v>
      </c>
      <c r="O121" s="10" t="str">
        <v>Not High</v>
      </c>
      <c r="P121" s="10">
        <v>0</v>
      </c>
      <c r="Q121" s="10">
        <v>0</v>
      </c>
      <c r="R121" s="10">
        <v>0</v>
      </c>
      <c r="S121" s="10">
        <v>-99</v>
      </c>
      <c r="T121" s="10">
        <v>0</v>
      </c>
      <c r="U121" s="10">
        <v>0</v>
      </c>
      <c r="V121" s="11">
        <v>7.0000000000000007E-2</v>
      </c>
      <c r="W121" s="11">
        <v>-4.0000000000000001E-3</v>
      </c>
    </row>
    <row r="122" spans="5:23" x14ac:dyDescent="0.25">
      <c r="E122" s="34" t="s">
        <v>23</v>
      </c>
      <c r="F122" s="34" t="s">
        <v>47</v>
      </c>
      <c r="G122" s="34" t="s">
        <v>195</v>
      </c>
      <c r="H122" s="35">
        <v>13.544444444444444</v>
      </c>
      <c r="I122" s="35">
        <v>16.260934291425617</v>
      </c>
      <c r="J122" s="35">
        <v>65.965530274550304</v>
      </c>
      <c r="K122" s="35">
        <v>40.971700581344834</v>
      </c>
      <c r="L122" s="9">
        <v>0.05</v>
      </c>
      <c r="M122" s="9">
        <v>-0.19</v>
      </c>
      <c r="N122" s="9" t="str">
        <v>High</v>
      </c>
      <c r="O122" s="10" t="str">
        <v>Not High</v>
      </c>
      <c r="P122" s="10">
        <v>0</v>
      </c>
      <c r="Q122" s="10">
        <v>0</v>
      </c>
      <c r="R122" s="10">
        <v>0</v>
      </c>
      <c r="S122" s="10">
        <v>-99</v>
      </c>
      <c r="T122" s="10">
        <v>0</v>
      </c>
      <c r="U122" s="10">
        <v>0</v>
      </c>
      <c r="V122" s="11">
        <v>0.11600000000000001</v>
      </c>
      <c r="W122" s="11">
        <v>6.0999999999999999E-2</v>
      </c>
    </row>
    <row r="123" spans="5:23" x14ac:dyDescent="0.25">
      <c r="E123" s="34" t="s">
        <v>39</v>
      </c>
      <c r="F123" s="34" t="s">
        <v>54</v>
      </c>
      <c r="G123" s="34" t="s">
        <v>195</v>
      </c>
      <c r="H123" s="35">
        <v>14.511111111111111</v>
      </c>
      <c r="I123" s="35">
        <v>16.047616613498651</v>
      </c>
      <c r="J123" s="35">
        <v>48.532938116188106</v>
      </c>
      <c r="K123" s="35">
        <v>41.403491320019249</v>
      </c>
      <c r="L123" s="9">
        <v>0.3</v>
      </c>
      <c r="M123" s="9">
        <v>0.12</v>
      </c>
      <c r="N123" s="9" t="str">
        <v>Medium</v>
      </c>
      <c r="O123" s="10" t="str">
        <v>Not High</v>
      </c>
      <c r="P123" s="10">
        <v>0.94699999999999995</v>
      </c>
      <c r="Q123" s="10">
        <v>-1.284</v>
      </c>
      <c r="R123" s="10">
        <v>0.94699999999999995</v>
      </c>
      <c r="S123" s="10">
        <v>0.94699999999999995</v>
      </c>
      <c r="T123" s="10">
        <v>25</v>
      </c>
      <c r="U123" s="10">
        <v>1</v>
      </c>
      <c r="V123" s="11">
        <v>5.2999999999999999E-2</v>
      </c>
      <c r="W123" s="11">
        <v>7.2999999999999995E-2</v>
      </c>
    </row>
    <row r="124" spans="5:23" x14ac:dyDescent="0.25">
      <c r="E124" s="34" t="s">
        <v>42</v>
      </c>
      <c r="F124" s="34" t="s">
        <v>56</v>
      </c>
      <c r="G124" s="34" t="s">
        <v>195</v>
      </c>
      <c r="H124" s="35">
        <v>15.144444444444446</v>
      </c>
      <c r="I124" s="35">
        <v>16.952937600001881</v>
      </c>
      <c r="J124" s="35">
        <v>54.065733424939076</v>
      </c>
      <c r="K124" s="35">
        <v>37.166955504936979</v>
      </c>
      <c r="L124" s="9">
        <v>0.22</v>
      </c>
      <c r="M124" s="9">
        <v>0.02</v>
      </c>
      <c r="N124" s="9" t="str">
        <v>Medium</v>
      </c>
      <c r="O124" s="10" t="str">
        <v>Not High</v>
      </c>
      <c r="P124" s="10">
        <v>0.29499999999999998</v>
      </c>
      <c r="Q124" s="10">
        <v>-1.8160000000000001</v>
      </c>
      <c r="R124" s="10">
        <v>0.29499999999999998</v>
      </c>
      <c r="S124" s="10">
        <v>0.29499999999999998</v>
      </c>
      <c r="T124" s="10">
        <v>48</v>
      </c>
      <c r="U124" s="10">
        <v>1</v>
      </c>
      <c r="V124" s="11">
        <v>1.2E-2</v>
      </c>
      <c r="W124" s="11">
        <v>2.1000000000000001E-2</v>
      </c>
    </row>
    <row r="125" spans="5:23" x14ac:dyDescent="0.25">
      <c r="E125" s="34" t="s">
        <v>45</v>
      </c>
      <c r="F125" s="34" t="s">
        <v>201</v>
      </c>
      <c r="G125" s="34" t="s">
        <v>195</v>
      </c>
      <c r="H125" s="35">
        <v>15.137499999999999</v>
      </c>
      <c r="I125" s="35">
        <v>16.133429833501623</v>
      </c>
      <c r="J125" s="35">
        <v>57.790316097098071</v>
      </c>
      <c r="K125" s="35">
        <v>45.524967646527628</v>
      </c>
      <c r="L125" s="9">
        <v>0.17</v>
      </c>
      <c r="M125" s="9">
        <v>-0.05</v>
      </c>
      <c r="N125" s="9" t="str">
        <v>High</v>
      </c>
      <c r="O125" s="10" t="str">
        <v>Not High</v>
      </c>
      <c r="P125" s="10">
        <v>0</v>
      </c>
      <c r="Q125" s="10">
        <v>0</v>
      </c>
      <c r="R125" s="10">
        <v>0</v>
      </c>
      <c r="S125" s="10">
        <v>-99</v>
      </c>
      <c r="T125" s="10">
        <v>0</v>
      </c>
      <c r="U125" s="10">
        <v>0</v>
      </c>
      <c r="V125" s="11">
        <v>1.2E-2</v>
      </c>
      <c r="W125" s="11">
        <v>6.8000000000000005E-2</v>
      </c>
    </row>
    <row r="126" spans="5:23" x14ac:dyDescent="0.25">
      <c r="E126" s="34" t="s">
        <v>46</v>
      </c>
      <c r="F126" s="34" t="s">
        <v>47</v>
      </c>
      <c r="G126" s="34" t="s">
        <v>195</v>
      </c>
      <c r="H126" s="35">
        <v>17.383333333333329</v>
      </c>
      <c r="I126" s="35">
        <v>18.661508479010468</v>
      </c>
      <c r="J126" s="35">
        <v>65.526016621307534</v>
      </c>
      <c r="K126" s="35">
        <v>50.13553705011612</v>
      </c>
      <c r="L126" s="9">
        <v>0.06</v>
      </c>
      <c r="M126" s="9">
        <v>-0.19</v>
      </c>
      <c r="N126" s="9" t="str">
        <v>High</v>
      </c>
      <c r="O126" s="10" t="str">
        <v>Not High</v>
      </c>
      <c r="P126" s="10">
        <v>0</v>
      </c>
      <c r="Q126" s="10">
        <v>0</v>
      </c>
      <c r="R126" s="10">
        <v>0</v>
      </c>
      <c r="S126" s="10">
        <v>-99</v>
      </c>
      <c r="T126" s="10">
        <v>0</v>
      </c>
      <c r="U126" s="10">
        <v>0</v>
      </c>
      <c r="V126" s="11">
        <v>-0.13400000000000001</v>
      </c>
      <c r="W126" s="11">
        <v>-7.8E-2</v>
      </c>
    </row>
    <row r="127" spans="5:23" x14ac:dyDescent="0.25">
      <c r="E127" s="34" t="s">
        <v>53</v>
      </c>
      <c r="F127" s="34" t="s">
        <v>54</v>
      </c>
      <c r="G127" s="34" t="s">
        <v>195</v>
      </c>
      <c r="H127" s="35">
        <v>16.633333333333329</v>
      </c>
      <c r="I127" s="35">
        <v>19.175723497800814</v>
      </c>
      <c r="J127" s="35">
        <v>65.269339916942428</v>
      </c>
      <c r="K127" s="35">
        <v>55.957569287480617</v>
      </c>
      <c r="L127" s="9">
        <v>0.06</v>
      </c>
      <c r="M127" s="9">
        <v>-0.18</v>
      </c>
      <c r="N127" s="9" t="str">
        <v>High</v>
      </c>
      <c r="O127" s="10" t="str">
        <v>Not High</v>
      </c>
      <c r="P127" s="10">
        <v>0</v>
      </c>
      <c r="Q127" s="10">
        <v>0</v>
      </c>
      <c r="R127" s="10">
        <v>0</v>
      </c>
      <c r="S127" s="10">
        <v>-99</v>
      </c>
      <c r="T127" s="10">
        <v>0</v>
      </c>
      <c r="U127" s="10">
        <v>0</v>
      </c>
      <c r="V127" s="11">
        <v>-8.5000000000000006E-2</v>
      </c>
      <c r="W127" s="11">
        <v>-0.108</v>
      </c>
    </row>
    <row r="128" spans="5:23" x14ac:dyDescent="0.25">
      <c r="E128" s="34" t="s">
        <v>55</v>
      </c>
      <c r="F128" s="34" t="s">
        <v>56</v>
      </c>
      <c r="G128" s="34" t="s">
        <v>195</v>
      </c>
      <c r="H128" s="35">
        <v>15.450000000000001</v>
      </c>
      <c r="I128" s="35">
        <v>17.824902213500248</v>
      </c>
      <c r="J128" s="35">
        <v>64.889426483626252</v>
      </c>
      <c r="K128" s="35">
        <v>46.372696602801007</v>
      </c>
      <c r="L128" s="9">
        <v>7.0000000000000007E-2</v>
      </c>
      <c r="M128" s="9">
        <v>-0.17</v>
      </c>
      <c r="N128" s="9" t="str">
        <v>High</v>
      </c>
      <c r="O128" s="10" t="str">
        <v>Not High</v>
      </c>
      <c r="P128" s="10">
        <v>0</v>
      </c>
      <c r="Q128" s="10">
        <v>0</v>
      </c>
      <c r="R128" s="10">
        <v>0</v>
      </c>
      <c r="S128" s="10">
        <v>-99</v>
      </c>
      <c r="T128" s="10">
        <v>0</v>
      </c>
      <c r="U128" s="10">
        <v>0</v>
      </c>
      <c r="V128" s="11">
        <v>-8.0000000000000002E-3</v>
      </c>
      <c r="W128" s="11">
        <v>-0.03</v>
      </c>
    </row>
    <row r="129" spans="5:23" x14ac:dyDescent="0.25">
      <c r="E129" s="34" t="s">
        <v>57</v>
      </c>
      <c r="F129" s="34" t="s">
        <v>52</v>
      </c>
      <c r="G129" s="34" t="s">
        <v>195</v>
      </c>
      <c r="H129" s="35">
        <v>16.683333333333334</v>
      </c>
      <c r="I129" s="35">
        <v>18.599107858009628</v>
      </c>
      <c r="J129" s="35">
        <v>73.801343517238294</v>
      </c>
      <c r="K129" s="35">
        <v>52.593158280624827</v>
      </c>
      <c r="L129" s="9">
        <v>-0.06</v>
      </c>
      <c r="M129" s="9">
        <v>-0.33</v>
      </c>
      <c r="N129" s="9" t="str">
        <v>High</v>
      </c>
      <c r="O129" s="10" t="str">
        <v>Not High</v>
      </c>
      <c r="P129" s="10">
        <v>0</v>
      </c>
      <c r="Q129" s="10">
        <v>0</v>
      </c>
      <c r="R129" s="10">
        <v>0</v>
      </c>
      <c r="S129" s="10">
        <v>-99</v>
      </c>
      <c r="T129" s="10">
        <v>0</v>
      </c>
      <c r="U129" s="10">
        <v>0</v>
      </c>
      <c r="V129" s="11">
        <v>-8.8999999999999996E-2</v>
      </c>
      <c r="W129" s="11">
        <v>-7.3999999999999996E-2</v>
      </c>
    </row>
    <row r="130" spans="5:23" x14ac:dyDescent="0.25">
      <c r="E130" s="34" t="s">
        <v>28</v>
      </c>
      <c r="F130" s="34" t="s">
        <v>56</v>
      </c>
      <c r="G130" s="34" t="s">
        <v>195</v>
      </c>
      <c r="H130" s="35">
        <v>14.225</v>
      </c>
      <c r="I130" s="35">
        <v>16.956416780507336</v>
      </c>
      <c r="J130" s="35">
        <v>60.933496656668282</v>
      </c>
      <c r="K130" s="35">
        <v>44.379546464383218</v>
      </c>
      <c r="L130" s="9">
        <v>0.12</v>
      </c>
      <c r="M130" s="9">
        <v>-0.1</v>
      </c>
      <c r="N130" s="9" t="str">
        <v>High</v>
      </c>
      <c r="O130" s="10" t="str">
        <v>Not High</v>
      </c>
      <c r="P130" s="10">
        <v>0</v>
      </c>
      <c r="Q130" s="10">
        <v>0</v>
      </c>
      <c r="R130" s="10">
        <v>0</v>
      </c>
      <c r="S130" s="10">
        <v>-99</v>
      </c>
      <c r="T130" s="10">
        <v>0</v>
      </c>
      <c r="U130" s="10">
        <v>0</v>
      </c>
      <c r="V130" s="11">
        <v>7.1999999999999995E-2</v>
      </c>
      <c r="W130" s="11">
        <v>2.1000000000000001E-2</v>
      </c>
    </row>
    <row r="131" spans="5:23" x14ac:dyDescent="0.25">
      <c r="E131" s="34" t="s">
        <v>60</v>
      </c>
      <c r="F131" s="34" t="s">
        <v>56</v>
      </c>
      <c r="G131" s="34" t="s">
        <v>195</v>
      </c>
      <c r="H131" s="35">
        <v>19</v>
      </c>
      <c r="I131" s="35">
        <v>20.508287166928138</v>
      </c>
      <c r="J131" s="35">
        <v>62.073283028486941</v>
      </c>
      <c r="K131" s="35">
        <v>53.070006137477662</v>
      </c>
      <c r="L131" s="9">
        <v>0.11</v>
      </c>
      <c r="M131" s="9">
        <v>-0.12</v>
      </c>
      <c r="N131" s="9" t="str">
        <v>High</v>
      </c>
      <c r="O131" s="10" t="str">
        <v>Not High</v>
      </c>
      <c r="P131" s="10">
        <v>0</v>
      </c>
      <c r="Q131" s="10">
        <v>0</v>
      </c>
      <c r="R131" s="10">
        <v>0</v>
      </c>
      <c r="S131" s="10">
        <v>-99</v>
      </c>
      <c r="T131" s="10">
        <v>0</v>
      </c>
      <c r="U131" s="10">
        <v>0</v>
      </c>
      <c r="V131" s="11">
        <v>-0.24</v>
      </c>
      <c r="W131" s="11">
        <v>-0.185</v>
      </c>
    </row>
    <row r="132" spans="5:23" x14ac:dyDescent="0.25">
      <c r="E132" s="34" t="s">
        <v>61</v>
      </c>
      <c r="F132" s="34" t="s">
        <v>56</v>
      </c>
      <c r="G132" s="34" t="s">
        <v>195</v>
      </c>
      <c r="H132" s="35">
        <v>18.759999999999998</v>
      </c>
      <c r="I132" s="35">
        <v>20.589658789716974</v>
      </c>
      <c r="J132" s="35">
        <v>62.493073588124048</v>
      </c>
      <c r="K132" s="35">
        <v>47.800457085897357</v>
      </c>
      <c r="L132" s="9">
        <v>0.1</v>
      </c>
      <c r="M132" s="9">
        <v>-0.13</v>
      </c>
      <c r="N132" s="9" t="str">
        <v>High</v>
      </c>
      <c r="O132" s="10" t="str">
        <v>Not High</v>
      </c>
      <c r="P132" s="10">
        <v>0</v>
      </c>
      <c r="Q132" s="10">
        <v>0</v>
      </c>
      <c r="R132" s="10">
        <v>0</v>
      </c>
      <c r="S132" s="10">
        <v>-99</v>
      </c>
      <c r="T132" s="10">
        <v>0</v>
      </c>
      <c r="U132" s="10">
        <v>0</v>
      </c>
      <c r="V132" s="11">
        <v>-0.224</v>
      </c>
      <c r="W132" s="11">
        <v>-0.189</v>
      </c>
    </row>
    <row r="133" spans="5:23" x14ac:dyDescent="0.25">
      <c r="E133" s="34" t="s">
        <v>62</v>
      </c>
      <c r="F133" s="34" t="s">
        <v>54</v>
      </c>
      <c r="G133" s="34" t="s">
        <v>195</v>
      </c>
      <c r="H133" s="35">
        <v>17.216666666666672</v>
      </c>
      <c r="I133" s="35">
        <v>20.473592060489612</v>
      </c>
      <c r="J133" s="35">
        <v>47.296451951068057</v>
      </c>
      <c r="K133" s="35">
        <v>66.129050038244301</v>
      </c>
      <c r="L133" s="9">
        <v>0.32</v>
      </c>
      <c r="M133" s="9">
        <v>0.14000000000000001</v>
      </c>
      <c r="N133" s="9" t="str">
        <v>Medium</v>
      </c>
      <c r="O133" s="10" t="str">
        <v>High</v>
      </c>
      <c r="P133" s="10">
        <v>0</v>
      </c>
      <c r="Q133" s="10">
        <v>0</v>
      </c>
      <c r="R133" s="10">
        <v>0</v>
      </c>
      <c r="S133" s="10">
        <v>-99</v>
      </c>
      <c r="T133" s="10">
        <v>0</v>
      </c>
      <c r="U133" s="10">
        <v>0</v>
      </c>
      <c r="V133" s="11">
        <v>-0.123</v>
      </c>
      <c r="W133" s="11">
        <v>-0.183</v>
      </c>
    </row>
    <row r="134" spans="5:23" x14ac:dyDescent="0.25">
      <c r="E134" s="34" t="s">
        <v>63</v>
      </c>
      <c r="F134" s="34" t="s">
        <v>54</v>
      </c>
      <c r="G134" s="34" t="s">
        <v>195</v>
      </c>
      <c r="H134" s="35">
        <v>16.98</v>
      </c>
      <c r="I134" s="35">
        <v>20.555540310161049</v>
      </c>
      <c r="J134" s="35">
        <v>49.942796923897035</v>
      </c>
      <c r="K134" s="35">
        <v>61.161724995000121</v>
      </c>
      <c r="L134" s="9">
        <v>0.28000000000000003</v>
      </c>
      <c r="M134" s="9">
        <v>0.1</v>
      </c>
      <c r="N134" s="9" t="str">
        <v>Medium</v>
      </c>
      <c r="O134" s="10" t="str">
        <v>High</v>
      </c>
      <c r="P134" s="10">
        <v>0</v>
      </c>
      <c r="Q134" s="10">
        <v>0</v>
      </c>
      <c r="R134" s="10">
        <v>0</v>
      </c>
      <c r="S134" s="10">
        <v>-99</v>
      </c>
      <c r="T134" s="10">
        <v>0</v>
      </c>
      <c r="U134" s="10">
        <v>0</v>
      </c>
      <c r="V134" s="11">
        <v>-0.108</v>
      </c>
      <c r="W134" s="11">
        <v>-0.187</v>
      </c>
    </row>
    <row r="135" spans="5:23" x14ac:dyDescent="0.25">
      <c r="E135" s="34" t="s">
        <v>31</v>
      </c>
      <c r="F135" s="34" t="s">
        <v>56</v>
      </c>
      <c r="G135" s="34" t="s">
        <v>195</v>
      </c>
      <c r="H135" s="35">
        <v>14.21851851851852</v>
      </c>
      <c r="I135" s="35">
        <v>15.49756616789792</v>
      </c>
      <c r="J135" s="35">
        <v>53.533252001737061</v>
      </c>
      <c r="K135" s="35">
        <v>38.863599490673039</v>
      </c>
      <c r="L135" s="9">
        <v>0.23</v>
      </c>
      <c r="M135" s="9">
        <v>0.03</v>
      </c>
      <c r="N135" s="9" t="str">
        <v>Medium</v>
      </c>
      <c r="O135" s="10" t="str">
        <v>Not High</v>
      </c>
      <c r="P135" s="10">
        <v>0.35699999999999998</v>
      </c>
      <c r="Q135" s="10">
        <v>-1.603</v>
      </c>
      <c r="R135" s="10">
        <v>0.35699999999999998</v>
      </c>
      <c r="S135" s="10">
        <v>0.35699999999999998</v>
      </c>
      <c r="T135" s="10">
        <v>45</v>
      </c>
      <c r="U135" s="10">
        <v>1</v>
      </c>
      <c r="V135" s="11">
        <v>7.1999999999999995E-2</v>
      </c>
      <c r="W135" s="11">
        <v>0.105</v>
      </c>
    </row>
    <row r="136" spans="5:23" x14ac:dyDescent="0.25">
      <c r="E136" s="34" t="s">
        <v>95</v>
      </c>
      <c r="F136" s="34" t="s">
        <v>66</v>
      </c>
      <c r="G136" s="34" t="s">
        <v>197</v>
      </c>
      <c r="H136" s="35">
        <v>14.166666666666668</v>
      </c>
      <c r="I136" s="35">
        <v>16.84477228822249</v>
      </c>
      <c r="J136" s="35">
        <v>40.139206307150133</v>
      </c>
      <c r="K136" s="35">
        <v>52.307483250532613</v>
      </c>
      <c r="L136" s="9">
        <v>0.42</v>
      </c>
      <c r="M136" s="9">
        <v>0.27</v>
      </c>
      <c r="N136" s="9" t="str">
        <v>Low</v>
      </c>
      <c r="O136" s="10" t="str">
        <v>Not High</v>
      </c>
      <c r="P136" s="10">
        <v>1.9370000000000001</v>
      </c>
      <c r="Q136" s="10">
        <v>8.5999999999999993E-2</v>
      </c>
      <c r="R136" s="10">
        <v>1.9370000000000001</v>
      </c>
      <c r="S136" s="10">
        <v>1.9370000000000001</v>
      </c>
      <c r="T136" s="10">
        <v>4</v>
      </c>
      <c r="U136" s="10">
        <v>1</v>
      </c>
      <c r="V136" s="11">
        <v>7.5999999999999998E-2</v>
      </c>
      <c r="W136" s="11">
        <v>2.7E-2</v>
      </c>
    </row>
    <row r="137" spans="5:23" x14ac:dyDescent="0.25">
      <c r="E137" s="34" t="s">
        <v>101</v>
      </c>
      <c r="F137" s="34" t="s">
        <v>102</v>
      </c>
      <c r="G137" s="34" t="s">
        <v>197</v>
      </c>
      <c r="H137" s="35">
        <v>14.233333333333333</v>
      </c>
      <c r="I137" s="35">
        <v>15.961690357588919</v>
      </c>
      <c r="J137" s="35">
        <v>50.305291062564976</v>
      </c>
      <c r="K137" s="35">
        <v>47.989579914062034</v>
      </c>
      <c r="L137" s="9">
        <v>0.28000000000000003</v>
      </c>
      <c r="M137" s="9">
        <v>0.09</v>
      </c>
      <c r="N137" s="9" t="str">
        <v>Medium</v>
      </c>
      <c r="O137" s="10" t="str">
        <v>Not High</v>
      </c>
      <c r="P137" s="10">
        <v>0.73799999999999999</v>
      </c>
      <c r="Q137" s="10">
        <v>-0.45700000000000002</v>
      </c>
      <c r="R137" s="10">
        <v>0.73799999999999999</v>
      </c>
      <c r="S137" s="10">
        <v>0.73799999999999999</v>
      </c>
      <c r="T137" s="10">
        <v>34</v>
      </c>
      <c r="U137" s="10">
        <v>1</v>
      </c>
      <c r="V137" s="11">
        <v>7.0999999999999994E-2</v>
      </c>
      <c r="W137" s="11">
        <v>7.8E-2</v>
      </c>
    </row>
    <row r="138" spans="5:23" x14ac:dyDescent="0.25">
      <c r="E138" s="34" t="s">
        <v>104</v>
      </c>
      <c r="F138" s="34" t="s">
        <v>102</v>
      </c>
      <c r="G138" s="34" t="s">
        <v>197</v>
      </c>
      <c r="H138" s="35">
        <v>14.9</v>
      </c>
      <c r="I138" s="35">
        <v>16.938502518699035</v>
      </c>
      <c r="J138" s="35">
        <v>55.658774078580336</v>
      </c>
      <c r="K138" s="35">
        <v>55.265564619060314</v>
      </c>
      <c r="L138" s="9">
        <v>0.2</v>
      </c>
      <c r="M138" s="9">
        <v>-0.01</v>
      </c>
      <c r="N138" s="9" t="str">
        <v>High</v>
      </c>
      <c r="O138" s="10" t="str">
        <v>Not High</v>
      </c>
      <c r="P138" s="10">
        <v>0</v>
      </c>
      <c r="Q138" s="10">
        <v>0</v>
      </c>
      <c r="R138" s="10">
        <v>0</v>
      </c>
      <c r="S138" s="10">
        <v>-99</v>
      </c>
      <c r="T138" s="10">
        <v>0</v>
      </c>
      <c r="U138" s="10">
        <v>0</v>
      </c>
      <c r="V138" s="11">
        <v>2.8000000000000001E-2</v>
      </c>
      <c r="W138" s="11">
        <v>2.1999999999999999E-2</v>
      </c>
    </row>
    <row r="139" spans="5:23" x14ac:dyDescent="0.25">
      <c r="E139" s="34" t="s">
        <v>113</v>
      </c>
      <c r="F139" s="34" t="s">
        <v>77</v>
      </c>
      <c r="G139" s="34" t="s">
        <v>197</v>
      </c>
      <c r="H139" s="35">
        <v>14.055555555555555</v>
      </c>
      <c r="I139" s="35">
        <v>16.352588877447683</v>
      </c>
      <c r="J139" s="35">
        <v>49.754451090720906</v>
      </c>
      <c r="K139" s="35">
        <v>47.517056216257039</v>
      </c>
      <c r="L139" s="9">
        <v>0.28000000000000003</v>
      </c>
      <c r="M139" s="9">
        <v>0.1</v>
      </c>
      <c r="N139" s="9" t="str">
        <v>Medium</v>
      </c>
      <c r="O139" s="10" t="str">
        <v>Not High</v>
      </c>
      <c r="P139" s="10">
        <v>0.80300000000000005</v>
      </c>
      <c r="Q139" s="10">
        <v>-0.51600000000000001</v>
      </c>
      <c r="R139" s="10">
        <v>0.80300000000000005</v>
      </c>
      <c r="S139" s="10">
        <v>0.80300000000000005</v>
      </c>
      <c r="T139" s="10">
        <v>32</v>
      </c>
      <c r="U139" s="10">
        <v>1</v>
      </c>
      <c r="V139" s="11">
        <v>8.3000000000000004E-2</v>
      </c>
      <c r="W139" s="11">
        <v>5.5E-2</v>
      </c>
    </row>
    <row r="140" spans="5:23" x14ac:dyDescent="0.25">
      <c r="E140" s="34" t="s">
        <v>126</v>
      </c>
      <c r="F140" s="34" t="s">
        <v>77</v>
      </c>
      <c r="G140" s="34" t="s">
        <v>197</v>
      </c>
      <c r="H140" s="35">
        <v>15.422222222222221</v>
      </c>
      <c r="I140" s="35">
        <v>16.281434125846513</v>
      </c>
      <c r="J140" s="35">
        <v>64.109504827675266</v>
      </c>
      <c r="K140" s="35">
        <v>42.162575968909998</v>
      </c>
      <c r="L140" s="9">
        <v>0.08</v>
      </c>
      <c r="M140" s="9">
        <v>-0.16</v>
      </c>
      <c r="N140" s="9" t="str">
        <v>High</v>
      </c>
      <c r="O140" s="10" t="str">
        <v>Not High</v>
      </c>
      <c r="P140" s="10">
        <v>0</v>
      </c>
      <c r="Q140" s="10">
        <v>0</v>
      </c>
      <c r="R140" s="10">
        <v>0</v>
      </c>
      <c r="S140" s="10">
        <v>-99</v>
      </c>
      <c r="T140" s="10">
        <v>0</v>
      </c>
      <c r="U140" s="10">
        <v>0</v>
      </c>
      <c r="V140" s="11">
        <v>-6.0000000000000001E-3</v>
      </c>
      <c r="W140" s="11">
        <v>0.06</v>
      </c>
    </row>
    <row r="141" spans="5:23" x14ac:dyDescent="0.25">
      <c r="E141" s="34" t="s">
        <v>76</v>
      </c>
      <c r="F141" s="34" t="s">
        <v>77</v>
      </c>
      <c r="G141" s="34" t="s">
        <v>197</v>
      </c>
      <c r="H141" s="35">
        <v>18.7</v>
      </c>
      <c r="I141" s="35">
        <v>20.481233322975751</v>
      </c>
      <c r="J141" s="35">
        <v>53.768585841208932</v>
      </c>
      <c r="K141" s="35">
        <v>55.91256699838533</v>
      </c>
      <c r="L141" s="9">
        <v>0.23</v>
      </c>
      <c r="M141" s="9">
        <v>0.03</v>
      </c>
      <c r="N141" s="9" t="str">
        <v>Medium</v>
      </c>
      <c r="O141" s="10" t="str">
        <v>Not High</v>
      </c>
      <c r="P141" s="10">
        <v>0.33</v>
      </c>
      <c r="Q141" s="10">
        <v>0.53800000000000003</v>
      </c>
      <c r="R141" s="10">
        <v>0.33</v>
      </c>
      <c r="S141" s="10">
        <v>0.33</v>
      </c>
      <c r="T141" s="10">
        <v>46</v>
      </c>
      <c r="U141" s="10">
        <v>1</v>
      </c>
      <c r="V141" s="11">
        <v>-0.22</v>
      </c>
      <c r="W141" s="11">
        <v>-0.183</v>
      </c>
    </row>
    <row r="142" spans="5:23" x14ac:dyDescent="0.25">
      <c r="E142" s="34" t="s">
        <v>80</v>
      </c>
      <c r="F142" s="34" t="s">
        <v>66</v>
      </c>
      <c r="G142" s="34" t="s">
        <v>197</v>
      </c>
      <c r="H142" s="35">
        <v>16.033333333333331</v>
      </c>
      <c r="I142" s="35">
        <v>18.910881245294402</v>
      </c>
      <c r="J142" s="35">
        <v>43.255566519270388</v>
      </c>
      <c r="K142" s="35">
        <v>50.495634325605899</v>
      </c>
      <c r="L142" s="9">
        <v>0.38</v>
      </c>
      <c r="M142" s="9">
        <v>0.22</v>
      </c>
      <c r="N142" s="9" t="str">
        <v>Low</v>
      </c>
      <c r="O142" s="10" t="str">
        <v>Not High</v>
      </c>
      <c r="P142" s="10">
        <v>1.569</v>
      </c>
      <c r="Q142" s="10">
        <v>-0.14199999999999999</v>
      </c>
      <c r="R142" s="10">
        <v>1.569</v>
      </c>
      <c r="S142" s="10">
        <v>1.569</v>
      </c>
      <c r="T142" s="10">
        <v>9</v>
      </c>
      <c r="U142" s="10">
        <v>1</v>
      </c>
      <c r="V142" s="11">
        <v>-4.5999999999999999E-2</v>
      </c>
      <c r="W142" s="11">
        <v>-9.1999999999999998E-2</v>
      </c>
    </row>
  </sheetData>
  <sheetProtection algorithmName="SHA-512" hashValue="ptsXj2jXEWYE2NAwg+aGq4qg2/ZWQJQoWi3KXrKmIlaeJG8bAJ5lX+HzErRjgeyzCVjMKYDKpSyYD8slvMNZYw==" saltValue="+8F3x2u+0gHgOWkknNlY4w==" spinCount="100000" sheet="1" objects="1" scenarios="1"/>
  <autoFilter ref="E1:U151" xr:uid="{BFD16C14-6FBA-4C46-9E22-C8E18C28142F}"/>
  <mergeCells count="5">
    <mergeCell ref="A3:C3"/>
    <mergeCell ref="B1:C1"/>
    <mergeCell ref="A13:C13"/>
    <mergeCell ref="A20:C20"/>
    <mergeCell ref="A17:C17"/>
  </mergeCells>
  <conditionalFormatting sqref="E1:E1048576">
    <cfRule type="cellIs" dxfId="2" priority="8" operator="equal">
      <formula>$A$18</formula>
    </cfRule>
  </conditionalFormatting>
  <conditionalFormatting sqref="H2:H1048576">
    <cfRule type="dataBar" priority="3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{BFD51D2A-14D9-49ED-B6BF-14FFFECFB457}</x14:id>
        </ext>
      </extLst>
    </cfRule>
    <cfRule type="dataBar" priority="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{8D4A58CC-8A93-47EA-BCFD-66ED40FCBBCD}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{B4A0F05E-E4D6-4857-9A09-EF22CC23F876}</x14:id>
        </ext>
      </extLst>
    </cfRule>
    <cfRule type="dataBar" priority="6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{AE7D3E37-E3B6-40AE-9A59-35CFA190001D}</x14:id>
        </ext>
      </extLst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{F148FE28-3756-4B03-B498-7EC53B3B30AD}</x14:id>
        </ext>
      </extLst>
    </cfRule>
  </conditionalFormatting>
  <conditionalFormatting sqref="I2:I1048576">
    <cfRule type="dataBar" priority="1">
      <dataBar>
        <cfvo type="min"/>
        <cfvo type="max"/>
        <color theme="3" tint="0.749992370372631"/>
      </dataBar>
      <extLst>
        <ext xmlns:x14="http://schemas.microsoft.com/office/spreadsheetml/2009/9/main" uri="{B025F937-C7B1-47D3-B67F-A62EFF666E3E}">
          <x14:id>{C9FB109B-11FB-4B0F-96BF-C828D2711E68}</x14:id>
        </ext>
      </extLst>
    </cfRule>
    <cfRule type="dataBar" priority="2">
      <dataBar>
        <cfvo type="min"/>
        <cfvo type="max"/>
        <color theme="3" tint="0.749992370372631"/>
      </dataBar>
      <extLst>
        <ext xmlns:x14="http://schemas.microsoft.com/office/spreadsheetml/2009/9/main" uri="{B025F937-C7B1-47D3-B67F-A62EFF666E3E}">
          <x14:id>{A3682E69-4E66-418F-9779-3734DE9E18B9}</x14:id>
        </ext>
      </extLst>
    </cfRule>
  </conditionalFormatting>
  <conditionalFormatting sqref="J1:J104857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{BD4BF06A-6FC5-4B93-8E95-567B5CDDE236}</x14:id>
        </ext>
      </extLst>
    </cfRule>
  </conditionalFormatting>
  <conditionalFormatting sqref="J2:J104857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{B72EF150-E258-4EC6-80F7-FCC96F3294ED}</x14:id>
        </ext>
      </extLst>
    </cfRule>
  </conditionalFormatting>
  <conditionalFormatting sqref="K2:K104857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{5D3B1F32-D871-47D1-B33A-2C2D1AD159B1}</x14:id>
        </ext>
      </extLst>
    </cfRule>
  </conditionalFormatting>
  <conditionalFormatting sqref="N1:N1048576 K1:K104857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{312C1982-64D9-4F1C-BD66-577C3E048004}</x14:id>
        </ext>
      </extLst>
    </cfRule>
  </conditionalFormatting>
  <conditionalFormatting sqref="P1:U1">
    <cfRule type="cellIs" dxfId="1" priority="13" operator="equal">
      <formula>1</formula>
    </cfRule>
  </conditionalFormatting>
  <conditionalFormatting sqref="U1:U1048576">
    <cfRule type="cellIs" dxfId="0" priority="11" operator="equal">
      <formula>1</formula>
    </cfRule>
  </conditionalFormatting>
  <dataValidations count="1">
    <dataValidation type="list" allowBlank="1" showInputMessage="1" showErrorMessage="1" sqref="B1" xr:uid="{10C63B63-9B58-4817-AA2F-E3CB879B6256}">
      <formula1>$A$29:$A$32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D51D2A-14D9-49ED-B6BF-14FFFECFB457}">
            <x14:dataBar minLength="0" maxLength="100" border="1">
              <x14:cfvo type="autoMin"/>
              <x14:cfvo type="autoMax"/>
              <x14:borderColor theme="7"/>
              <x14:negativeFillColor rgb="FFFF0000"/>
              <x14:axisColor rgb="FF000000"/>
            </x14:dataBar>
          </x14:cfRule>
          <x14:cfRule type="dataBar" id="{8D4A58CC-8A93-47EA-BCFD-66ED40FCBB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0F05E-E4D6-4857-9A09-EF22CC23F87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7D3E37-E3B6-40AE-9A59-35CFA19000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48FE28-3756-4B03-B498-7EC53B3B30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H2:H1048576</xm:sqref>
        </x14:conditionalFormatting>
        <x14:conditionalFormatting xmlns:xm="http://schemas.microsoft.com/office/excel/2006/main">
          <x14:cfRule type="dataBar" id="{C9FB109B-11FB-4B0F-96BF-C828D2711E68}">
            <x14:dataBar minLength="0" maxLength="100" border="1">
              <x14:cfvo type="autoMin"/>
              <x14:cfvo type="autoMax"/>
              <x14:borderColor theme="3" tint="0.499984740745262"/>
              <x14:negativeFillColor rgb="FFFF0000"/>
              <x14:axisColor rgb="FF000000"/>
            </x14:dataBar>
          </x14:cfRule>
          <x14:cfRule type="dataBar" id="{A3682E69-4E66-418F-9779-3734DE9E18B9}">
            <x14:dataBar minLength="0" maxLength="100" border="1">
              <x14:cfvo type="autoMin"/>
              <x14:cfvo type="autoMax"/>
              <x14:borderColor rgb="FF0070C0"/>
              <x14:negativeFillColor rgb="FFFF0000"/>
              <x14:axisColor rgb="FF000000"/>
            </x14:dataBar>
          </x14:cfRule>
          <xm:sqref>I2:I1048576</xm:sqref>
        </x14:conditionalFormatting>
        <x14:conditionalFormatting xmlns:xm="http://schemas.microsoft.com/office/excel/2006/main">
          <x14:cfRule type="dataBar" id="{BD4BF06A-6FC5-4B93-8E95-567B5CDDE2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B72EF150-E258-4EC6-80F7-FCC96F3294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J2:J1048576</xm:sqref>
        </x14:conditionalFormatting>
        <x14:conditionalFormatting xmlns:xm="http://schemas.microsoft.com/office/excel/2006/main">
          <x14:cfRule type="dataBar" id="{5D3B1F32-D871-47D1-B33A-2C2D1AD15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K2:K1048576</xm:sqref>
        </x14:conditionalFormatting>
        <x14:conditionalFormatting xmlns:xm="http://schemas.microsoft.com/office/excel/2006/main">
          <x14:cfRule type="dataBar" id="{312C1982-64D9-4F1C-BD66-577C3E0480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 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 Dashboard</vt:lpstr>
    </vt:vector>
  </TitlesOfParts>
  <Manager/>
  <Company>AgResearch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Muetzel</dc:creator>
  <cp:keywords/>
  <dc:description/>
  <cp:lastModifiedBy>Al-Sham'aa, Khaled (ICARDA)</cp:lastModifiedBy>
  <cp:revision/>
  <dcterms:created xsi:type="dcterms:W3CDTF">2024-08-09T04:02:23Z</dcterms:created>
  <dcterms:modified xsi:type="dcterms:W3CDTF">2026-03-11T13:08:01Z</dcterms:modified>
  <cp:category/>
  <cp:contentStatus/>
</cp:coreProperties>
</file>